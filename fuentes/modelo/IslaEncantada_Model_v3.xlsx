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ricardolopezreyero/Desktop/Isla Encantada/"/>
    </mc:Choice>
  </mc:AlternateContent>
  <xr:revisionPtr revIDLastSave="0" documentId="13_ncr:1_{DAD90EEE-27A4-A64D-9B83-B7E7A7B9C0FB}" xr6:coauthVersionLast="47" xr6:coauthVersionMax="47" xr10:uidLastSave="{00000000-0000-0000-0000-000000000000}"/>
  <bookViews>
    <workbookView xWindow="0" yWindow="500" windowWidth="28800" windowHeight="16260" activeTab="2" xr2:uid="{00000000-000D-0000-FFFF-FFFF00000000}"/>
  </bookViews>
  <sheets>
    <sheet name="Supuestos" sheetId="1" r:id="rId1"/>
    <sheet name="Proyeccion_60m" sheetId="2" r:id="rId2"/>
    <sheet name="Resumen_Exe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3" i="2" l="1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N6" i="2"/>
  <c r="M6" i="2"/>
  <c r="L6" i="2"/>
  <c r="M5" i="2"/>
  <c r="L5" i="2"/>
  <c r="D5" i="2"/>
  <c r="C5" i="2"/>
  <c r="E5" i="2" s="1"/>
  <c r="B5" i="2"/>
  <c r="N4" i="2"/>
  <c r="N5" i="2" s="1"/>
  <c r="M4" i="2"/>
  <c r="L4" i="2"/>
  <c r="K4" i="2"/>
  <c r="O4" i="2" s="1"/>
  <c r="J4" i="2"/>
  <c r="D4" i="2"/>
  <c r="B4" i="2"/>
  <c r="I4" i="2" s="1"/>
  <c r="B31" i="1"/>
  <c r="F31" i="2" s="1"/>
  <c r="F11" i="2" l="1"/>
  <c r="F15" i="2"/>
  <c r="F7" i="2"/>
  <c r="F19" i="2"/>
  <c r="D6" i="2"/>
  <c r="N7" i="2"/>
  <c r="C6" i="2"/>
  <c r="I5" i="2"/>
  <c r="H5" i="2"/>
  <c r="B6" i="2"/>
  <c r="K5" i="2"/>
  <c r="O5" i="2" s="1"/>
  <c r="J5" i="2"/>
  <c r="F25" i="2"/>
  <c r="F4" i="2"/>
  <c r="F28" i="2"/>
  <c r="F26" i="2"/>
  <c r="F63" i="2"/>
  <c r="F59" i="2"/>
  <c r="F55" i="2"/>
  <c r="F51" i="2"/>
  <c r="F47" i="2"/>
  <c r="F43" i="2"/>
  <c r="F39" i="2"/>
  <c r="F35" i="2"/>
  <c r="F21" i="2"/>
  <c r="F17" i="2"/>
  <c r="F13" i="2"/>
  <c r="F9" i="2"/>
  <c r="F5" i="2"/>
  <c r="F44" i="2"/>
  <c r="F40" i="2"/>
  <c r="F62" i="2"/>
  <c r="F61" i="2"/>
  <c r="F36" i="2"/>
  <c r="F56" i="2"/>
  <c r="F52" i="2"/>
  <c r="F48" i="2"/>
  <c r="F22" i="2"/>
  <c r="F18" i="2"/>
  <c r="F14" i="2"/>
  <c r="F10" i="2"/>
  <c r="B6" i="3"/>
  <c r="H4" i="2"/>
  <c r="G4" i="2" s="1"/>
  <c r="F32" i="2"/>
  <c r="F24" i="2"/>
  <c r="F34" i="2"/>
  <c r="F37" i="2"/>
  <c r="F38" i="2"/>
  <c r="F41" i="2"/>
  <c r="F42" i="2"/>
  <c r="F45" i="2"/>
  <c r="F46" i="2"/>
  <c r="F49" i="2"/>
  <c r="F50" i="2"/>
  <c r="F53" i="2"/>
  <c r="F54" i="2"/>
  <c r="F57" i="2"/>
  <c r="F58" i="2"/>
  <c r="F27" i="2"/>
  <c r="F30" i="2"/>
  <c r="F60" i="2"/>
  <c r="F23" i="2"/>
  <c r="F6" i="2"/>
  <c r="F29" i="2"/>
  <c r="F33" i="2"/>
  <c r="C4" i="2"/>
  <c r="R5" i="2"/>
  <c r="F8" i="2"/>
  <c r="F12" i="2"/>
  <c r="F16" i="2"/>
  <c r="F20" i="2"/>
  <c r="G5" i="2" l="1"/>
  <c r="B7" i="3"/>
  <c r="P4" i="2"/>
  <c r="S4" i="2"/>
  <c r="B9" i="3" s="1"/>
  <c r="K6" i="2"/>
  <c r="O6" i="2" s="1"/>
  <c r="J6" i="2"/>
  <c r="H6" i="2"/>
  <c r="I6" i="2"/>
  <c r="E4" i="2"/>
  <c r="R4" i="2"/>
  <c r="B11" i="3" s="1"/>
  <c r="P5" i="2"/>
  <c r="Q5" i="2" s="1"/>
  <c r="N8" i="2"/>
  <c r="D7" i="2"/>
  <c r="B7" i="2" s="1"/>
  <c r="R6" i="2"/>
  <c r="E6" i="2"/>
  <c r="G6" i="2" l="1"/>
  <c r="J7" i="2"/>
  <c r="I7" i="2"/>
  <c r="H7" i="2"/>
  <c r="G7" i="2" s="1"/>
  <c r="K7" i="2"/>
  <c r="O7" i="2" s="1"/>
  <c r="B8" i="3"/>
  <c r="Q4" i="2"/>
  <c r="B10" i="3" s="1"/>
  <c r="P6" i="2"/>
  <c r="Q6" i="2" s="1"/>
  <c r="N9" i="2"/>
  <c r="D8" i="2"/>
  <c r="B8" i="2" s="1"/>
  <c r="S5" i="2"/>
  <c r="C7" i="2"/>
  <c r="H8" i="2" l="1"/>
  <c r="J8" i="2"/>
  <c r="K8" i="2"/>
  <c r="O8" i="2" s="1"/>
  <c r="I8" i="2"/>
  <c r="R7" i="2"/>
  <c r="E7" i="2"/>
  <c r="C8" i="2"/>
  <c r="P7" i="2"/>
  <c r="Q7" i="2" s="1"/>
  <c r="N10" i="2"/>
  <c r="D9" i="2"/>
  <c r="C9" i="2" s="1"/>
  <c r="S6" i="2"/>
  <c r="E9" i="2" l="1"/>
  <c r="R9" i="2"/>
  <c r="B9" i="2"/>
  <c r="D10" i="2"/>
  <c r="N11" i="2"/>
  <c r="S7" i="2"/>
  <c r="R8" i="2"/>
  <c r="E8" i="2"/>
  <c r="G8" i="2"/>
  <c r="C10" i="2" l="1"/>
  <c r="H9" i="2"/>
  <c r="B10" i="2"/>
  <c r="K9" i="2"/>
  <c r="O9" i="2" s="1"/>
  <c r="J9" i="2"/>
  <c r="I9" i="2"/>
  <c r="D11" i="2"/>
  <c r="N12" i="2"/>
  <c r="P8" i="2"/>
  <c r="Q8" i="2" s="1"/>
  <c r="S8" i="2"/>
  <c r="B11" i="2" l="1"/>
  <c r="K10" i="2"/>
  <c r="O10" i="2" s="1"/>
  <c r="H10" i="2"/>
  <c r="J10" i="2"/>
  <c r="I10" i="2"/>
  <c r="C11" i="2"/>
  <c r="G9" i="2"/>
  <c r="N13" i="2"/>
  <c r="D12" i="2"/>
  <c r="R10" i="2"/>
  <c r="E10" i="2"/>
  <c r="P9" i="2" l="1"/>
  <c r="Q9" i="2" s="1"/>
  <c r="S9" i="2"/>
  <c r="R11" i="2"/>
  <c r="E11" i="2"/>
  <c r="G10" i="2"/>
  <c r="N14" i="2"/>
  <c r="D13" i="2"/>
  <c r="J11" i="2"/>
  <c r="I11" i="2"/>
  <c r="B12" i="2"/>
  <c r="K11" i="2"/>
  <c r="O11" i="2" s="1"/>
  <c r="C12" i="2"/>
  <c r="H11" i="2"/>
  <c r="D14" i="2" l="1"/>
  <c r="N15" i="2"/>
  <c r="P10" i="2"/>
  <c r="Q10" i="2" s="1"/>
  <c r="G11" i="2"/>
  <c r="R12" i="2"/>
  <c r="E12" i="2"/>
  <c r="H12" i="2"/>
  <c r="J12" i="2"/>
  <c r="B13" i="2"/>
  <c r="K12" i="2"/>
  <c r="O12" i="2" s="1"/>
  <c r="C13" i="2"/>
  <c r="I12" i="2"/>
  <c r="G12" i="2" l="1"/>
  <c r="P12" i="2"/>
  <c r="Q12" i="2" s="1"/>
  <c r="S12" i="2"/>
  <c r="E13" i="2"/>
  <c r="R13" i="2"/>
  <c r="P11" i="2"/>
  <c r="Q11" i="2" s="1"/>
  <c r="S10" i="2"/>
  <c r="C14" i="2"/>
  <c r="H13" i="2"/>
  <c r="J13" i="2"/>
  <c r="K13" i="2"/>
  <c r="O13" i="2" s="1"/>
  <c r="B14" i="2"/>
  <c r="I13" i="2"/>
  <c r="D15" i="2"/>
  <c r="N16" i="2"/>
  <c r="N17" i="2" l="1"/>
  <c r="D16" i="2"/>
  <c r="R14" i="2"/>
  <c r="E14" i="2"/>
  <c r="S11" i="2"/>
  <c r="B15" i="2"/>
  <c r="K14" i="2"/>
  <c r="O14" i="2" s="1"/>
  <c r="H14" i="2"/>
  <c r="G14" i="2" s="1"/>
  <c r="J14" i="2"/>
  <c r="C15" i="2"/>
  <c r="I14" i="2"/>
  <c r="G13" i="2"/>
  <c r="P13" i="2" l="1"/>
  <c r="Q13" i="2" s="1"/>
  <c r="S13" i="2"/>
  <c r="P14" i="2"/>
  <c r="Q14" i="2" s="1"/>
  <c r="C6" i="3"/>
  <c r="J15" i="2"/>
  <c r="I15" i="2"/>
  <c r="B16" i="2"/>
  <c r="K15" i="2"/>
  <c r="O15" i="2" s="1"/>
  <c r="C16" i="2"/>
  <c r="H15" i="2"/>
  <c r="R15" i="2"/>
  <c r="C11" i="3" s="1"/>
  <c r="E15" i="2"/>
  <c r="N18" i="2"/>
  <c r="D17" i="2"/>
  <c r="D18" i="2" l="1"/>
  <c r="N19" i="2"/>
  <c r="G15" i="2"/>
  <c r="R16" i="2"/>
  <c r="E16" i="2"/>
  <c r="S14" i="2"/>
  <c r="H16" i="2"/>
  <c r="J16" i="2"/>
  <c r="B17" i="2"/>
  <c r="K16" i="2"/>
  <c r="O16" i="2" s="1"/>
  <c r="C17" i="2"/>
  <c r="I16" i="2"/>
  <c r="G16" i="2" l="1"/>
  <c r="P16" i="2" s="1"/>
  <c r="E17" i="2"/>
  <c r="R17" i="2"/>
  <c r="C7" i="3"/>
  <c r="P15" i="2"/>
  <c r="D19" i="2"/>
  <c r="N20" i="2"/>
  <c r="C18" i="2"/>
  <c r="H17" i="2"/>
  <c r="J17" i="2"/>
  <c r="K17" i="2"/>
  <c r="O17" i="2" s="1"/>
  <c r="B18" i="2"/>
  <c r="I17" i="2"/>
  <c r="Q16" i="2" l="1"/>
  <c r="S16" i="2"/>
  <c r="G17" i="2"/>
  <c r="C8" i="3"/>
  <c r="Q15" i="2"/>
  <c r="C10" i="3" s="1"/>
  <c r="B19" i="2"/>
  <c r="K18" i="2"/>
  <c r="O18" i="2" s="1"/>
  <c r="H18" i="2"/>
  <c r="J18" i="2"/>
  <c r="C19" i="2"/>
  <c r="I18" i="2"/>
  <c r="S15" i="2"/>
  <c r="C9" i="3" s="1"/>
  <c r="R18" i="2"/>
  <c r="E18" i="2"/>
  <c r="N21" i="2"/>
  <c r="D20" i="2"/>
  <c r="N22" i="2" l="1"/>
  <c r="D21" i="2"/>
  <c r="G18" i="2"/>
  <c r="J19" i="2"/>
  <c r="I19" i="2"/>
  <c r="B20" i="2"/>
  <c r="K19" i="2"/>
  <c r="O19" i="2" s="1"/>
  <c r="C20" i="2"/>
  <c r="H19" i="2"/>
  <c r="R19" i="2"/>
  <c r="E19" i="2"/>
  <c r="P17" i="2"/>
  <c r="Q17" i="2" s="1"/>
  <c r="S17" i="2"/>
  <c r="H20" i="2" l="1"/>
  <c r="J20" i="2"/>
  <c r="B21" i="2"/>
  <c r="K20" i="2"/>
  <c r="O20" i="2" s="1"/>
  <c r="C21" i="2"/>
  <c r="I20" i="2"/>
  <c r="P18" i="2"/>
  <c r="Q18" i="2" s="1"/>
  <c r="G19" i="2"/>
  <c r="R20" i="2"/>
  <c r="E20" i="2"/>
  <c r="D22" i="2"/>
  <c r="N23" i="2"/>
  <c r="S18" i="2" l="1"/>
  <c r="D23" i="2"/>
  <c r="N24" i="2"/>
  <c r="E21" i="2"/>
  <c r="R21" i="2"/>
  <c r="C22" i="2"/>
  <c r="H21" i="2"/>
  <c r="J21" i="2"/>
  <c r="I21" i="2"/>
  <c r="K21" i="2"/>
  <c r="O21" i="2" s="1"/>
  <c r="B22" i="2"/>
  <c r="P19" i="2"/>
  <c r="Q19" i="2" s="1"/>
  <c r="G20" i="2"/>
  <c r="G21" i="2" l="1"/>
  <c r="R22" i="2"/>
  <c r="E22" i="2"/>
  <c r="P20" i="2"/>
  <c r="Q20" i="2" s="1"/>
  <c r="S20" i="2"/>
  <c r="S19" i="2"/>
  <c r="B23" i="2"/>
  <c r="K22" i="2"/>
  <c r="O22" i="2" s="1"/>
  <c r="H22" i="2"/>
  <c r="J22" i="2"/>
  <c r="C23" i="2"/>
  <c r="I22" i="2"/>
  <c r="D24" i="2"/>
  <c r="N25" i="2"/>
  <c r="D25" i="2" l="1"/>
  <c r="N26" i="2"/>
  <c r="R23" i="2"/>
  <c r="E23" i="2"/>
  <c r="K23" i="2"/>
  <c r="O23" i="2" s="1"/>
  <c r="B24" i="2"/>
  <c r="J23" i="2"/>
  <c r="I23" i="2"/>
  <c r="H23" i="2"/>
  <c r="C24" i="2"/>
  <c r="G22" i="2"/>
  <c r="P21" i="2"/>
  <c r="Q21" i="2" s="1"/>
  <c r="S21" i="2"/>
  <c r="P22" i="2" l="1"/>
  <c r="Q22" i="2" s="1"/>
  <c r="I24" i="2"/>
  <c r="B25" i="2"/>
  <c r="K24" i="2"/>
  <c r="O24" i="2" s="1"/>
  <c r="J24" i="2"/>
  <c r="H24" i="2"/>
  <c r="G24" i="2" s="1"/>
  <c r="C25" i="2"/>
  <c r="R24" i="2"/>
  <c r="E24" i="2"/>
  <c r="D26" i="2"/>
  <c r="N27" i="2"/>
  <c r="G23" i="2"/>
  <c r="D27" i="2" l="1"/>
  <c r="N28" i="2"/>
  <c r="P24" i="2"/>
  <c r="Q24" i="2" s="1"/>
  <c r="P23" i="2"/>
  <c r="Q23" i="2" s="1"/>
  <c r="B26" i="2"/>
  <c r="K25" i="2"/>
  <c r="O25" i="2" s="1"/>
  <c r="J25" i="2"/>
  <c r="I25" i="2"/>
  <c r="C26" i="2"/>
  <c r="H25" i="2"/>
  <c r="E25" i="2"/>
  <c r="R25" i="2"/>
  <c r="S22" i="2"/>
  <c r="G25" i="2" l="1"/>
  <c r="C27" i="2"/>
  <c r="K26" i="2"/>
  <c r="O26" i="2" s="1"/>
  <c r="J26" i="2"/>
  <c r="B27" i="2"/>
  <c r="H26" i="2"/>
  <c r="I26" i="2"/>
  <c r="S25" i="2"/>
  <c r="P25" i="2"/>
  <c r="Q25" i="2" s="1"/>
  <c r="S23" i="2"/>
  <c r="E26" i="2"/>
  <c r="R26" i="2"/>
  <c r="S24" i="2"/>
  <c r="D28" i="2"/>
  <c r="N29" i="2"/>
  <c r="D29" i="2" l="1"/>
  <c r="N30" i="2"/>
  <c r="G26" i="2"/>
  <c r="K27" i="2"/>
  <c r="O27" i="2" s="1"/>
  <c r="B28" i="2"/>
  <c r="J27" i="2"/>
  <c r="I27" i="2"/>
  <c r="C28" i="2"/>
  <c r="H27" i="2"/>
  <c r="R27" i="2"/>
  <c r="E27" i="2"/>
  <c r="P26" i="2" l="1"/>
  <c r="Q26" i="2" s="1"/>
  <c r="R28" i="2"/>
  <c r="E28" i="2"/>
  <c r="I28" i="2"/>
  <c r="B29" i="2"/>
  <c r="K28" i="2"/>
  <c r="O28" i="2" s="1"/>
  <c r="J28" i="2"/>
  <c r="H28" i="2"/>
  <c r="C29" i="2"/>
  <c r="G27" i="2"/>
  <c r="D30" i="2"/>
  <c r="N31" i="2"/>
  <c r="D31" i="2" l="1"/>
  <c r="N32" i="2"/>
  <c r="B30" i="2"/>
  <c r="K29" i="2"/>
  <c r="O29" i="2" s="1"/>
  <c r="J29" i="2"/>
  <c r="I29" i="2"/>
  <c r="C30" i="2"/>
  <c r="H29" i="2"/>
  <c r="G29" i="2" s="1"/>
  <c r="P27" i="2"/>
  <c r="Q27" i="2" s="1"/>
  <c r="R29" i="2"/>
  <c r="E29" i="2"/>
  <c r="G28" i="2"/>
  <c r="S26" i="2"/>
  <c r="P29" i="2" l="1"/>
  <c r="Q29" i="2" s="1"/>
  <c r="P28" i="2"/>
  <c r="Q28" i="2" s="1"/>
  <c r="E30" i="2"/>
  <c r="R30" i="2"/>
  <c r="C31" i="2"/>
  <c r="K30" i="2"/>
  <c r="O30" i="2" s="1"/>
  <c r="J30" i="2"/>
  <c r="I30" i="2"/>
  <c r="H30" i="2"/>
  <c r="B31" i="2"/>
  <c r="S27" i="2"/>
  <c r="N33" i="2"/>
  <c r="D32" i="2"/>
  <c r="G30" i="2" l="1"/>
  <c r="N34" i="2"/>
  <c r="D33" i="2"/>
  <c r="K31" i="2"/>
  <c r="O31" i="2" s="1"/>
  <c r="B32" i="2"/>
  <c r="J31" i="2"/>
  <c r="H31" i="2"/>
  <c r="I31" i="2"/>
  <c r="C32" i="2"/>
  <c r="P30" i="2"/>
  <c r="Q30" i="2" s="1"/>
  <c r="R31" i="2"/>
  <c r="E31" i="2"/>
  <c r="S28" i="2"/>
  <c r="S29" i="2"/>
  <c r="R32" i="2" l="1"/>
  <c r="E32" i="2"/>
  <c r="G31" i="2"/>
  <c r="I32" i="2"/>
  <c r="B33" i="2"/>
  <c r="K32" i="2"/>
  <c r="O32" i="2" s="1"/>
  <c r="H32" i="2"/>
  <c r="J32" i="2"/>
  <c r="C33" i="2"/>
  <c r="S30" i="2"/>
  <c r="D34" i="2"/>
  <c r="N35" i="2"/>
  <c r="G32" i="2" l="1"/>
  <c r="C34" i="2"/>
  <c r="B34" i="2"/>
  <c r="K33" i="2"/>
  <c r="O33" i="2" s="1"/>
  <c r="J33" i="2"/>
  <c r="H33" i="2"/>
  <c r="I33" i="2"/>
  <c r="S32" i="2"/>
  <c r="P32" i="2"/>
  <c r="Q32" i="2" s="1"/>
  <c r="D35" i="2"/>
  <c r="N36" i="2"/>
  <c r="P31" i="2"/>
  <c r="Q31" i="2" s="1"/>
  <c r="E33" i="2"/>
  <c r="R33" i="2"/>
  <c r="G33" i="2" l="1"/>
  <c r="S31" i="2"/>
  <c r="N37" i="2"/>
  <c r="D36" i="2"/>
  <c r="C35" i="2"/>
  <c r="K34" i="2"/>
  <c r="O34" i="2" s="1"/>
  <c r="I34" i="2"/>
  <c r="B35" i="2"/>
  <c r="H34" i="2"/>
  <c r="J34" i="2"/>
  <c r="E34" i="2"/>
  <c r="R34" i="2"/>
  <c r="E35" i="2" l="1"/>
  <c r="R35" i="2"/>
  <c r="G34" i="2"/>
  <c r="N38" i="2"/>
  <c r="D37" i="2"/>
  <c r="K35" i="2"/>
  <c r="O35" i="2" s="1"/>
  <c r="I35" i="2"/>
  <c r="B36" i="2"/>
  <c r="H35" i="2"/>
  <c r="C36" i="2"/>
  <c r="J35" i="2"/>
  <c r="P33" i="2"/>
  <c r="Q33" i="2" s="1"/>
  <c r="S33" i="2" l="1"/>
  <c r="G35" i="2"/>
  <c r="D38" i="2"/>
  <c r="N39" i="2"/>
  <c r="R36" i="2"/>
  <c r="E36" i="2"/>
  <c r="P34" i="2"/>
  <c r="Q34" i="2" s="1"/>
  <c r="I36" i="2"/>
  <c r="B37" i="2"/>
  <c r="J36" i="2"/>
  <c r="H36" i="2"/>
  <c r="K36" i="2"/>
  <c r="O36" i="2" s="1"/>
  <c r="C37" i="2"/>
  <c r="G36" i="2" l="1"/>
  <c r="S34" i="2"/>
  <c r="C38" i="2"/>
  <c r="B38" i="2"/>
  <c r="K37" i="2"/>
  <c r="O37" i="2" s="1"/>
  <c r="J37" i="2"/>
  <c r="I37" i="2"/>
  <c r="H37" i="2"/>
  <c r="G37" i="2" s="1"/>
  <c r="E37" i="2"/>
  <c r="R37" i="2"/>
  <c r="P36" i="2"/>
  <c r="Q36" i="2" s="1"/>
  <c r="D39" i="2"/>
  <c r="N40" i="2"/>
  <c r="P35" i="2"/>
  <c r="Q35" i="2" s="1"/>
  <c r="S35" i="2" l="1"/>
  <c r="N41" i="2"/>
  <c r="D40" i="2"/>
  <c r="S36" i="2"/>
  <c r="P37" i="2"/>
  <c r="Q37" i="2" s="1"/>
  <c r="C39" i="2"/>
  <c r="K38" i="2"/>
  <c r="O38" i="2" s="1"/>
  <c r="I38" i="2"/>
  <c r="B39" i="2"/>
  <c r="H38" i="2"/>
  <c r="J38" i="2"/>
  <c r="E38" i="2"/>
  <c r="R38" i="2"/>
  <c r="S37" i="2" l="1"/>
  <c r="E39" i="2"/>
  <c r="R39" i="2"/>
  <c r="D11" i="3" s="1"/>
  <c r="G38" i="2"/>
  <c r="K39" i="2"/>
  <c r="O39" i="2" s="1"/>
  <c r="I39" i="2"/>
  <c r="D6" i="3"/>
  <c r="B40" i="2"/>
  <c r="H39" i="2"/>
  <c r="C40" i="2"/>
  <c r="J39" i="2"/>
  <c r="N42" i="2"/>
  <c r="D41" i="2"/>
  <c r="P38" i="2" l="1"/>
  <c r="Q38" i="2" s="1"/>
  <c r="R40" i="2"/>
  <c r="E40" i="2"/>
  <c r="G39" i="2"/>
  <c r="D42" i="2"/>
  <c r="N43" i="2"/>
  <c r="I40" i="2"/>
  <c r="B41" i="2"/>
  <c r="J40" i="2"/>
  <c r="H40" i="2"/>
  <c r="K40" i="2"/>
  <c r="O40" i="2" s="1"/>
  <c r="C41" i="2"/>
  <c r="G40" i="2" l="1"/>
  <c r="E41" i="2"/>
  <c r="R41" i="2"/>
  <c r="D7" i="3"/>
  <c r="P39" i="2"/>
  <c r="C42" i="2"/>
  <c r="B42" i="2"/>
  <c r="K41" i="2"/>
  <c r="O41" i="2" s="1"/>
  <c r="J41" i="2"/>
  <c r="I41" i="2"/>
  <c r="H41" i="2"/>
  <c r="D43" i="2"/>
  <c r="N44" i="2"/>
  <c r="P40" i="2"/>
  <c r="Q40" i="2" s="1"/>
  <c r="S38" i="2"/>
  <c r="G41" i="2" l="1"/>
  <c r="S40" i="2"/>
  <c r="N45" i="2"/>
  <c r="D44" i="2"/>
  <c r="E42" i="2"/>
  <c r="R42" i="2"/>
  <c r="D8" i="3"/>
  <c r="Q39" i="2"/>
  <c r="D10" i="3" s="1"/>
  <c r="P41" i="2"/>
  <c r="Q41" i="2" s="1"/>
  <c r="C43" i="2"/>
  <c r="K42" i="2"/>
  <c r="O42" i="2" s="1"/>
  <c r="I42" i="2"/>
  <c r="B43" i="2"/>
  <c r="H42" i="2"/>
  <c r="J42" i="2"/>
  <c r="S39" i="2"/>
  <c r="D9" i="3" s="1"/>
  <c r="S41" i="2" l="1"/>
  <c r="N46" i="2"/>
  <c r="D45" i="2"/>
  <c r="G42" i="2"/>
  <c r="K43" i="2"/>
  <c r="O43" i="2" s="1"/>
  <c r="I43" i="2"/>
  <c r="B44" i="2"/>
  <c r="H43" i="2"/>
  <c r="C44" i="2"/>
  <c r="J43" i="2"/>
  <c r="E43" i="2"/>
  <c r="R43" i="2"/>
  <c r="G43" i="2" l="1"/>
  <c r="P43" i="2"/>
  <c r="Q43" i="2" s="1"/>
  <c r="I44" i="2"/>
  <c r="B45" i="2"/>
  <c r="J44" i="2"/>
  <c r="H44" i="2"/>
  <c r="G44" i="2" s="1"/>
  <c r="K44" i="2"/>
  <c r="O44" i="2" s="1"/>
  <c r="C45" i="2"/>
  <c r="P42" i="2"/>
  <c r="Q42" i="2" s="1"/>
  <c r="R44" i="2"/>
  <c r="E44" i="2"/>
  <c r="D46" i="2"/>
  <c r="N47" i="2"/>
  <c r="P44" i="2" l="1"/>
  <c r="Q44" i="2" s="1"/>
  <c r="C46" i="2"/>
  <c r="B46" i="2"/>
  <c r="K45" i="2"/>
  <c r="O45" i="2" s="1"/>
  <c r="J45" i="2"/>
  <c r="I45" i="2"/>
  <c r="H45" i="2"/>
  <c r="G45" i="2" s="1"/>
  <c r="S42" i="2"/>
  <c r="D47" i="2"/>
  <c r="N48" i="2"/>
  <c r="E45" i="2"/>
  <c r="R45" i="2"/>
  <c r="S43" i="2"/>
  <c r="P45" i="2" l="1"/>
  <c r="Q45" i="2" s="1"/>
  <c r="C47" i="2"/>
  <c r="K46" i="2"/>
  <c r="O46" i="2" s="1"/>
  <c r="I46" i="2"/>
  <c r="B47" i="2"/>
  <c r="H46" i="2"/>
  <c r="J46" i="2"/>
  <c r="N49" i="2"/>
  <c r="D48" i="2"/>
  <c r="E46" i="2"/>
  <c r="R46" i="2"/>
  <c r="S44" i="2"/>
  <c r="G46" i="2" l="1"/>
  <c r="K47" i="2"/>
  <c r="O47" i="2" s="1"/>
  <c r="I47" i="2"/>
  <c r="B48" i="2"/>
  <c r="H47" i="2"/>
  <c r="C48" i="2"/>
  <c r="J47" i="2"/>
  <c r="S46" i="2"/>
  <c r="P46" i="2"/>
  <c r="Q46" i="2" s="1"/>
  <c r="E47" i="2"/>
  <c r="R47" i="2"/>
  <c r="N50" i="2"/>
  <c r="D49" i="2"/>
  <c r="S45" i="2"/>
  <c r="I48" i="2" l="1"/>
  <c r="B49" i="2"/>
  <c r="J48" i="2"/>
  <c r="H48" i="2"/>
  <c r="G48" i="2" s="1"/>
  <c r="K48" i="2"/>
  <c r="O48" i="2" s="1"/>
  <c r="C49" i="2"/>
  <c r="R48" i="2"/>
  <c r="E48" i="2"/>
  <c r="G47" i="2"/>
  <c r="D50" i="2"/>
  <c r="N51" i="2"/>
  <c r="D51" i="2" l="1"/>
  <c r="N52" i="2"/>
  <c r="E49" i="2"/>
  <c r="R49" i="2"/>
  <c r="P48" i="2"/>
  <c r="Q48" i="2" s="1"/>
  <c r="C50" i="2"/>
  <c r="B50" i="2"/>
  <c r="K49" i="2"/>
  <c r="O49" i="2" s="1"/>
  <c r="J49" i="2"/>
  <c r="I49" i="2"/>
  <c r="H49" i="2"/>
  <c r="G49" i="2" s="1"/>
  <c r="P47" i="2"/>
  <c r="Q47" i="2" s="1"/>
  <c r="P49" i="2" l="1"/>
  <c r="Q49" i="2" s="1"/>
  <c r="C51" i="2"/>
  <c r="K50" i="2"/>
  <c r="O50" i="2" s="1"/>
  <c r="I50" i="2"/>
  <c r="B51" i="2"/>
  <c r="H50" i="2"/>
  <c r="J50" i="2"/>
  <c r="E50" i="2"/>
  <c r="R50" i="2"/>
  <c r="S47" i="2"/>
  <c r="S48" i="2"/>
  <c r="N53" i="2"/>
  <c r="D52" i="2"/>
  <c r="G50" i="2" l="1"/>
  <c r="K51" i="2"/>
  <c r="O51" i="2" s="1"/>
  <c r="I51" i="2"/>
  <c r="B52" i="2"/>
  <c r="H51" i="2"/>
  <c r="C52" i="2"/>
  <c r="J51" i="2"/>
  <c r="S50" i="2"/>
  <c r="P50" i="2"/>
  <c r="Q50" i="2" s="1"/>
  <c r="N54" i="2"/>
  <c r="D53" i="2"/>
  <c r="E51" i="2"/>
  <c r="R51" i="2"/>
  <c r="S49" i="2"/>
  <c r="I52" i="2" l="1"/>
  <c r="B53" i="2"/>
  <c r="J52" i="2"/>
  <c r="H52" i="2"/>
  <c r="G52" i="2" s="1"/>
  <c r="K52" i="2"/>
  <c r="O52" i="2" s="1"/>
  <c r="C53" i="2"/>
  <c r="R52" i="2"/>
  <c r="E52" i="2"/>
  <c r="G51" i="2"/>
  <c r="D54" i="2"/>
  <c r="N55" i="2"/>
  <c r="E53" i="2" l="1"/>
  <c r="R53" i="2"/>
  <c r="P52" i="2"/>
  <c r="Q52" i="2" s="1"/>
  <c r="D55" i="2"/>
  <c r="N56" i="2"/>
  <c r="C54" i="2"/>
  <c r="B54" i="2"/>
  <c r="K53" i="2"/>
  <c r="O53" i="2" s="1"/>
  <c r="J53" i="2"/>
  <c r="I53" i="2"/>
  <c r="H53" i="2"/>
  <c r="G53" i="2" s="1"/>
  <c r="P51" i="2"/>
  <c r="Q51" i="2" s="1"/>
  <c r="S51" i="2" l="1"/>
  <c r="S52" i="2"/>
  <c r="C55" i="2"/>
  <c r="K54" i="2"/>
  <c r="O54" i="2" s="1"/>
  <c r="I54" i="2"/>
  <c r="B55" i="2"/>
  <c r="H54" i="2"/>
  <c r="J54" i="2"/>
  <c r="E54" i="2"/>
  <c r="R54" i="2"/>
  <c r="N57" i="2"/>
  <c r="D56" i="2"/>
  <c r="P53" i="2"/>
  <c r="Q53" i="2" s="1"/>
  <c r="G54" i="2" l="1"/>
  <c r="K55" i="2"/>
  <c r="O55" i="2" s="1"/>
  <c r="I55" i="2"/>
  <c r="B56" i="2"/>
  <c r="H55" i="2"/>
  <c r="C56" i="2"/>
  <c r="J55" i="2"/>
  <c r="N58" i="2"/>
  <c r="D57" i="2"/>
  <c r="P54" i="2"/>
  <c r="Q54" i="2" s="1"/>
  <c r="S53" i="2"/>
  <c r="E55" i="2"/>
  <c r="R55" i="2"/>
  <c r="R56" i="2" l="1"/>
  <c r="E56" i="2"/>
  <c r="G55" i="2"/>
  <c r="D58" i="2"/>
  <c r="N59" i="2"/>
  <c r="I56" i="2"/>
  <c r="B57" i="2"/>
  <c r="J56" i="2"/>
  <c r="H56" i="2"/>
  <c r="K56" i="2"/>
  <c r="O56" i="2" s="1"/>
  <c r="C57" i="2"/>
  <c r="S54" i="2"/>
  <c r="C58" i="2" l="1"/>
  <c r="B58" i="2"/>
  <c r="K57" i="2"/>
  <c r="O57" i="2" s="1"/>
  <c r="J57" i="2"/>
  <c r="I57" i="2"/>
  <c r="H57" i="2"/>
  <c r="G57" i="2" s="1"/>
  <c r="D59" i="2"/>
  <c r="N60" i="2"/>
  <c r="E57" i="2"/>
  <c r="R57" i="2"/>
  <c r="P55" i="2"/>
  <c r="Q55" i="2" s="1"/>
  <c r="G56" i="2"/>
  <c r="P57" i="2" l="1"/>
  <c r="Q57" i="2" s="1"/>
  <c r="P56" i="2"/>
  <c r="Q56" i="2" s="1"/>
  <c r="S55" i="2"/>
  <c r="C59" i="2"/>
  <c r="K58" i="2"/>
  <c r="O58" i="2" s="1"/>
  <c r="I58" i="2"/>
  <c r="B59" i="2"/>
  <c r="H58" i="2"/>
  <c r="J58" i="2"/>
  <c r="D60" i="2"/>
  <c r="N61" i="2"/>
  <c r="E58" i="2"/>
  <c r="R58" i="2"/>
  <c r="E59" i="2" l="1"/>
  <c r="R59" i="2"/>
  <c r="D61" i="2"/>
  <c r="N62" i="2"/>
  <c r="S56" i="2"/>
  <c r="G58" i="2"/>
  <c r="K59" i="2"/>
  <c r="O59" i="2" s="1"/>
  <c r="I59" i="2"/>
  <c r="B60" i="2"/>
  <c r="H59" i="2"/>
  <c r="C60" i="2"/>
  <c r="J59" i="2"/>
  <c r="S57" i="2"/>
  <c r="P58" i="2" l="1"/>
  <c r="Q58" i="2" s="1"/>
  <c r="E60" i="2"/>
  <c r="R60" i="2"/>
  <c r="G59" i="2"/>
  <c r="D62" i="2"/>
  <c r="N63" i="2"/>
  <c r="D63" i="2" s="1"/>
  <c r="I60" i="2"/>
  <c r="C61" i="2"/>
  <c r="B61" i="2"/>
  <c r="K60" i="2"/>
  <c r="O60" i="2" s="1"/>
  <c r="J60" i="2"/>
  <c r="H60" i="2"/>
  <c r="G60" i="2" l="1"/>
  <c r="P60" i="2"/>
  <c r="Q60" i="2" s="1"/>
  <c r="E61" i="2"/>
  <c r="R61" i="2"/>
  <c r="P59" i="2"/>
  <c r="Q59" i="2" s="1"/>
  <c r="C62" i="2"/>
  <c r="B62" i="2"/>
  <c r="K61" i="2"/>
  <c r="O61" i="2" s="1"/>
  <c r="J61" i="2"/>
  <c r="H61" i="2"/>
  <c r="I61" i="2"/>
  <c r="S58" i="2"/>
  <c r="S59" i="2" l="1"/>
  <c r="G61" i="2"/>
  <c r="C63" i="2"/>
  <c r="B63" i="2"/>
  <c r="K62" i="2"/>
  <c r="O62" i="2" s="1"/>
  <c r="J62" i="2"/>
  <c r="I62" i="2"/>
  <c r="H62" i="2"/>
  <c r="E62" i="2"/>
  <c r="R62" i="2"/>
  <c r="S60" i="2"/>
  <c r="K63" i="2" l="1"/>
  <c r="O63" i="2" s="1"/>
  <c r="J63" i="2"/>
  <c r="I63" i="2"/>
  <c r="H63" i="2"/>
  <c r="G63" i="2" s="1"/>
  <c r="E6" i="3"/>
  <c r="R63" i="2"/>
  <c r="E11" i="3" s="1"/>
  <c r="E63" i="2"/>
  <c r="P61" i="2"/>
  <c r="Q61" i="2" s="1"/>
  <c r="G62" i="2"/>
  <c r="E7" i="3" l="1"/>
  <c r="P63" i="2"/>
  <c r="P62" i="2"/>
  <c r="Q62" i="2" s="1"/>
  <c r="S61" i="2"/>
  <c r="E8" i="3" l="1"/>
  <c r="Q63" i="2"/>
  <c r="E10" i="3" s="1"/>
  <c r="S62" i="2"/>
  <c r="S63" i="2"/>
  <c r="E9" i="3" s="1"/>
</calcChain>
</file>

<file path=xl/sharedStrings.xml><?xml version="1.0" encoding="utf-8"?>
<sst xmlns="http://schemas.openxmlformats.org/spreadsheetml/2006/main" count="78" uniqueCount="78">
  <si>
    <t>IslaEncantada.com – Supuestos del modelo</t>
  </si>
  <si>
    <t>USUARIOS Y CRECIMIENTO</t>
  </si>
  <si>
    <t>Start_DAU</t>
  </si>
  <si>
    <t>Usuarios activos diarios promedio al mes 1</t>
  </si>
  <si>
    <t>Max_DAU</t>
  </si>
  <si>
    <t>Capacidad técnica máxima de usuarios activos diarios</t>
  </si>
  <si>
    <t>Organic_growth</t>
  </si>
  <si>
    <t>Crecimiento orgánico mensual (6%)</t>
  </si>
  <si>
    <t>Improvement_growth</t>
  </si>
  <si>
    <t>Extra de crecimiento por mejoras (+1% features) (2%)</t>
  </si>
  <si>
    <t>Days_per_month</t>
  </si>
  <si>
    <t>Días promedio por mes</t>
  </si>
  <si>
    <t>MARKETING Y CAC</t>
  </si>
  <si>
    <t>Marketing_month1</t>
  </si>
  <si>
    <t>Gasto de marketing mes 1 (USD)</t>
  </si>
  <si>
    <t>Marketing_growth</t>
  </si>
  <si>
    <t>Crecimiento mensual del presupuesto de marketing (7%)</t>
  </si>
  <si>
    <t>Paid_CAC</t>
  </si>
  <si>
    <t>CAC pagado objetivo (USD por usuario nuevo)</t>
  </si>
  <si>
    <t>MONETIZACIÓN POR USUARIO ACTIVO EN 24 HORAS</t>
  </si>
  <si>
    <t>Rev_room_per_user_per_day</t>
  </si>
  <si>
    <t>Ingreso por 'habitación' virtual por usuario activo en 24h (USD)</t>
  </si>
  <si>
    <t>Rev_activities_per_user_per_day</t>
  </si>
  <si>
    <t>Ingreso por actividades por usuario activo en 24h (USD)</t>
  </si>
  <si>
    <t>Rev_shops_per_user_per_day</t>
  </si>
  <si>
    <t>Ingreso por tiendas/regalos por usuario activo en 24h (USD)</t>
  </si>
  <si>
    <t>COSTOS</t>
  </si>
  <si>
    <t>Var_cost_per_user_per_day</t>
  </si>
  <si>
    <t>Costo variable (servidores, soporte, plataf.) por usuario activo en 24h (USD)</t>
  </si>
  <si>
    <t>Founder_salary</t>
  </si>
  <si>
    <t>Salario mensual fundador/director (USD)</t>
  </si>
  <si>
    <t>Env_artist_salary</t>
  </si>
  <si>
    <t>Salario mensual Environment Artist (USD)</t>
  </si>
  <si>
    <t>Tech_dev_salary</t>
  </si>
  <si>
    <t>Salario mensual Technical Developer (USD)</t>
  </si>
  <si>
    <t>Support_Ops_team_salary</t>
  </si>
  <si>
    <t>Salario mensual equipo soporte/operación (USD)</t>
  </si>
  <si>
    <t>Other_fixed_costs</t>
  </si>
  <si>
    <t>Otros costos fijos mensuales (herramientas, admin, etc.) (USD)</t>
  </si>
  <si>
    <t>CONFIGURACIÓN DEL MODELO</t>
  </si>
  <si>
    <t>Projection_months</t>
  </si>
  <si>
    <t>Horizonte de proyección en meses</t>
  </si>
  <si>
    <t>ARPU_per_user_per_day</t>
  </si>
  <si>
    <t>Ingreso promedio total por usuario activo en 24h (USD)</t>
  </si>
  <si>
    <t>IslaEncantada.com – Proyección mensual 60 meses (USD)</t>
  </si>
  <si>
    <t>Mes</t>
  </si>
  <si>
    <t>DAU_promedio</t>
  </si>
  <si>
    <t>Nuevos_usuarios_totales</t>
  </si>
  <si>
    <t>Nuevos_usuarios_pagados</t>
  </si>
  <si>
    <t>Nuevos_usuarios_organicos</t>
  </si>
  <si>
    <t>ARPU_dia_USD</t>
  </si>
  <si>
    <t>Ingresos_totales_USD</t>
  </si>
  <si>
    <t>Ingresos_habitaciones_USD</t>
  </si>
  <si>
    <t>Ingresos_actividades_USD</t>
  </si>
  <si>
    <t>Ingresos_tiendas_USD</t>
  </si>
  <si>
    <t>Costos_variables_USD</t>
  </si>
  <si>
    <t>Sueldos_fijos_USD</t>
  </si>
  <si>
    <t>Otros_fijos_USD</t>
  </si>
  <si>
    <t>Marketing_USD</t>
  </si>
  <si>
    <t>Costos_totales_USD</t>
  </si>
  <si>
    <t>Utilidad_mensual_USD</t>
  </si>
  <si>
    <t>Utilidad_por_usuario_24h_USD</t>
  </si>
  <si>
    <t>CAC_mezclado_USD</t>
  </si>
  <si>
    <t>Margen_utilidad</t>
  </si>
  <si>
    <t>IslaEncantada.com – Resumen ejecutivo del modelo (USD)</t>
  </si>
  <si>
    <t>Escenario:</t>
  </si>
  <si>
    <t>Agresivo, realista y optimista</t>
  </si>
  <si>
    <t>KPI</t>
  </si>
  <si>
    <t>Mes 1</t>
  </si>
  <si>
    <t>Mes 12</t>
  </si>
  <si>
    <t>Mes 36</t>
  </si>
  <si>
    <t>Mes 60</t>
  </si>
  <si>
    <t>DAU promedio</t>
  </si>
  <si>
    <t>Ingresos totales (USD)</t>
  </si>
  <si>
    <t>Utilidad mensual (USD)</t>
  </si>
  <si>
    <t>Margen de utilidad</t>
  </si>
  <si>
    <t>Utilidad por usuario activo 24h (USD)</t>
  </si>
  <si>
    <t>CAC mezclado 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</si>
</sst>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&quot;$&quot;#,##0"/>
    <numFmt numFmtId="168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b/>
      <sz val="14"/>
      <name val="Roboto"/>
    </font>
    <font>
      <b/>
      <sz val="11"/>
      <name val="Roboto"/>
    </font>
    <font>
      <sz val="10"/>
      <name val="Roboto"/>
    </font>
    <font>
      <b/>
      <sz val="10"/>
      <name val="Roboto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0F2F1"/>
        <bgColor rgb="FFE0F2F1"/>
      </patternFill>
    </fill>
    <fill>
      <patternFill patternType="solid">
        <fgColor rgb="FFB2DFDB"/>
        <bgColor rgb="FFB2DFD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2" fillId="2" borderId="1" xfId="0" applyFont="1" applyFill="1" applyBorder="1"/>
    <xf numFmtId="0" fontId="3" fillId="0" borderId="1" xfId="0" applyFont="1" applyBorder="1"/>
    <xf numFmtId="0" fontId="2" fillId="3" borderId="1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/>
    <xf numFmtId="1" fontId="3" fillId="0" borderId="1" xfId="0" applyNumberFormat="1" applyFont="1" applyBorder="1"/>
    <xf numFmtId="9" fontId="3" fillId="0" borderId="1" xfId="0" applyNumberFormat="1" applyFont="1" applyBorder="1"/>
    <xf numFmtId="164" fontId="3" fillId="0" borderId="1" xfId="0" applyNumberFormat="1" applyFont="1" applyBorder="1"/>
    <xf numFmtId="1" fontId="3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right"/>
    </xf>
    <xf numFmtId="9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/>
    <xf numFmtId="168" fontId="3" fillId="0" borderId="1" xfId="1" applyNumberFormat="1" applyFont="1" applyBorder="1"/>
    <xf numFmtId="168" fontId="3" fillId="0" borderId="1" xfId="1" applyNumberFormat="1" applyFont="1" applyBorder="1" applyAlignment="1">
      <alignment horizontal="right"/>
    </xf>
    <xf numFmtId="0" fontId="4" fillId="0" borderId="1" xfId="0" applyFont="1" applyBorder="1" applyAlignment="1">
      <alignment horizontal="left"/>
    </xf>
    <xf numFmtId="164" fontId="4" fillId="0" borderId="1" xfId="0" applyNumberFormat="1" applyFont="1" applyBorder="1" applyAlignment="1">
      <alignment horizontal="right"/>
    </xf>
    <xf numFmtId="0" fontId="6" fillId="0" borderId="0" xfId="0" applyFont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opLeftCell="A10" workbookViewId="0">
      <selection activeCell="B12" sqref="B12"/>
    </sheetView>
  </sheetViews>
  <sheetFormatPr baseColWidth="10" defaultColWidth="8.83203125" defaultRowHeight="15" x14ac:dyDescent="0.2"/>
  <cols>
    <col min="1" max="1" width="30" customWidth="1"/>
    <col min="2" max="2" width="14" customWidth="1"/>
    <col min="3" max="3" width="56" customWidth="1"/>
  </cols>
  <sheetData>
    <row r="1" spans="1:3" ht="18" x14ac:dyDescent="0.2">
      <c r="A1" s="13" t="s">
        <v>0</v>
      </c>
      <c r="B1" s="14"/>
      <c r="C1" s="14"/>
    </row>
    <row r="3" spans="1:3" x14ac:dyDescent="0.2">
      <c r="A3" s="1" t="s">
        <v>1</v>
      </c>
    </row>
    <row r="4" spans="1:3" x14ac:dyDescent="0.2">
      <c r="A4" s="2" t="s">
        <v>2</v>
      </c>
      <c r="B4" s="16">
        <v>1500</v>
      </c>
      <c r="C4" s="2" t="s">
        <v>3</v>
      </c>
    </row>
    <row r="5" spans="1:3" x14ac:dyDescent="0.2">
      <c r="A5" s="2" t="s">
        <v>4</v>
      </c>
      <c r="B5" s="16">
        <v>100000</v>
      </c>
      <c r="C5" s="2" t="s">
        <v>5</v>
      </c>
    </row>
    <row r="6" spans="1:3" x14ac:dyDescent="0.2">
      <c r="A6" s="2" t="s">
        <v>6</v>
      </c>
      <c r="B6" s="7">
        <v>0.06</v>
      </c>
      <c r="C6" s="2" t="s">
        <v>7</v>
      </c>
    </row>
    <row r="7" spans="1:3" x14ac:dyDescent="0.2">
      <c r="A7" s="2" t="s">
        <v>8</v>
      </c>
      <c r="B7" s="7">
        <v>0.02</v>
      </c>
      <c r="C7" s="2" t="s">
        <v>9</v>
      </c>
    </row>
    <row r="8" spans="1:3" x14ac:dyDescent="0.2">
      <c r="A8" s="2" t="s">
        <v>10</v>
      </c>
      <c r="B8" s="6">
        <v>30.4</v>
      </c>
      <c r="C8" s="2" t="s">
        <v>11</v>
      </c>
    </row>
    <row r="10" spans="1:3" x14ac:dyDescent="0.2">
      <c r="A10" s="1" t="s">
        <v>12</v>
      </c>
    </row>
    <row r="11" spans="1:3" x14ac:dyDescent="0.2">
      <c r="A11" s="2" t="s">
        <v>13</v>
      </c>
      <c r="B11" s="8">
        <v>30000</v>
      </c>
      <c r="C11" s="2" t="s">
        <v>14</v>
      </c>
    </row>
    <row r="12" spans="1:3" x14ac:dyDescent="0.2">
      <c r="A12" s="2" t="s">
        <v>15</v>
      </c>
      <c r="B12" s="7">
        <v>7.0000000000000007E-2</v>
      </c>
      <c r="C12" s="2" t="s">
        <v>16</v>
      </c>
    </row>
    <row r="13" spans="1:3" x14ac:dyDescent="0.2">
      <c r="A13" s="2" t="s">
        <v>17</v>
      </c>
      <c r="B13" s="8">
        <v>18</v>
      </c>
      <c r="C13" s="2" t="s">
        <v>18</v>
      </c>
    </row>
    <row r="15" spans="1:3" x14ac:dyDescent="0.2">
      <c r="A15" s="1" t="s">
        <v>19</v>
      </c>
    </row>
    <row r="16" spans="1:3" x14ac:dyDescent="0.2">
      <c r="A16" s="2" t="s">
        <v>20</v>
      </c>
      <c r="B16" s="8">
        <v>35</v>
      </c>
      <c r="C16" s="2" t="s">
        <v>21</v>
      </c>
    </row>
    <row r="17" spans="1:3" x14ac:dyDescent="0.2">
      <c r="A17" s="2" t="s">
        <v>22</v>
      </c>
      <c r="B17" s="8">
        <v>15</v>
      </c>
      <c r="C17" s="2" t="s">
        <v>23</v>
      </c>
    </row>
    <row r="18" spans="1:3" x14ac:dyDescent="0.2">
      <c r="A18" s="2" t="s">
        <v>24</v>
      </c>
      <c r="B18" s="8">
        <v>5</v>
      </c>
      <c r="C18" s="2" t="s">
        <v>25</v>
      </c>
    </row>
    <row r="20" spans="1:3" x14ac:dyDescent="0.2">
      <c r="A20" s="1" t="s">
        <v>26</v>
      </c>
    </row>
    <row r="21" spans="1:3" x14ac:dyDescent="0.2">
      <c r="A21" s="2" t="s">
        <v>27</v>
      </c>
      <c r="B21" s="8">
        <v>4</v>
      </c>
      <c r="C21" s="2" t="s">
        <v>28</v>
      </c>
    </row>
    <row r="22" spans="1:3" x14ac:dyDescent="0.2">
      <c r="A22" s="2" t="s">
        <v>29</v>
      </c>
      <c r="B22" s="8">
        <v>8000</v>
      </c>
      <c r="C22" s="2" t="s">
        <v>30</v>
      </c>
    </row>
    <row r="23" spans="1:3" x14ac:dyDescent="0.2">
      <c r="A23" s="2" t="s">
        <v>31</v>
      </c>
      <c r="B23" s="8">
        <v>5000</v>
      </c>
      <c r="C23" s="2" t="s">
        <v>32</v>
      </c>
    </row>
    <row r="24" spans="1:3" x14ac:dyDescent="0.2">
      <c r="A24" s="2" t="s">
        <v>33</v>
      </c>
      <c r="B24" s="8">
        <v>6000</v>
      </c>
      <c r="C24" s="2" t="s">
        <v>34</v>
      </c>
    </row>
    <row r="25" spans="1:3" x14ac:dyDescent="0.2">
      <c r="A25" s="2" t="s">
        <v>35</v>
      </c>
      <c r="B25" s="8">
        <v>6000</v>
      </c>
      <c r="C25" s="2" t="s">
        <v>36</v>
      </c>
    </row>
    <row r="26" spans="1:3" x14ac:dyDescent="0.2">
      <c r="A26" s="2" t="s">
        <v>37</v>
      </c>
      <c r="B26" s="8">
        <v>6000</v>
      </c>
      <c r="C26" s="2" t="s">
        <v>38</v>
      </c>
    </row>
    <row r="28" spans="1:3" x14ac:dyDescent="0.2">
      <c r="A28" s="1" t="s">
        <v>39</v>
      </c>
    </row>
    <row r="29" spans="1:3" x14ac:dyDescent="0.2">
      <c r="A29" s="2" t="s">
        <v>40</v>
      </c>
      <c r="B29" s="6">
        <v>60</v>
      </c>
      <c r="C29" s="2" t="s">
        <v>41</v>
      </c>
    </row>
    <row r="31" spans="1:3" x14ac:dyDescent="0.2">
      <c r="A31" s="2" t="s">
        <v>42</v>
      </c>
      <c r="B31" s="8">
        <f>B16+B17+B18</f>
        <v>55</v>
      </c>
      <c r="C31" s="2" t="s">
        <v>43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63"/>
  <sheetViews>
    <sheetView topLeftCell="I1" workbookViewId="0">
      <pane ySplit="3" topLeftCell="A5" activePane="bottomLeft" state="frozen"/>
      <selection pane="bottomLeft" activeCell="B4" sqref="B4:E63"/>
    </sheetView>
  </sheetViews>
  <sheetFormatPr baseColWidth="10" defaultColWidth="8.83203125" defaultRowHeight="15" x14ac:dyDescent="0.2"/>
  <cols>
    <col min="1" max="1" width="4.83203125" bestFit="1" customWidth="1"/>
    <col min="2" max="2" width="13.33203125" bestFit="1" customWidth="1"/>
    <col min="3" max="3" width="22.5" bestFit="1" customWidth="1"/>
    <col min="4" max="4" width="23.6640625" bestFit="1" customWidth="1"/>
    <col min="5" max="5" width="24.83203125" bestFit="1" customWidth="1"/>
    <col min="6" max="6" width="13.5" bestFit="1" customWidth="1"/>
    <col min="7" max="7" width="19.5" bestFit="1" customWidth="1"/>
    <col min="8" max="8" width="24.5" bestFit="1" customWidth="1"/>
    <col min="9" max="9" width="23.5" bestFit="1" customWidth="1"/>
    <col min="10" max="10" width="19.83203125" bestFit="1" customWidth="1"/>
    <col min="11" max="11" width="20" bestFit="1" customWidth="1"/>
    <col min="12" max="12" width="16.83203125" bestFit="1" customWidth="1"/>
    <col min="13" max="13" width="14.6640625" bestFit="1" customWidth="1"/>
    <col min="14" max="14" width="14" customWidth="1"/>
    <col min="15" max="15" width="18.1640625" bestFit="1" customWidth="1"/>
    <col min="16" max="16" width="20" bestFit="1" customWidth="1"/>
    <col min="17" max="17" width="26.6640625" bestFit="1" customWidth="1"/>
    <col min="18" max="18" width="18.1640625" bestFit="1" customWidth="1"/>
    <col min="19" max="19" width="14.5" bestFit="1" customWidth="1"/>
  </cols>
  <sheetData>
    <row r="1" spans="1:19" ht="18" x14ac:dyDescent="0.2">
      <c r="A1" s="13" t="s">
        <v>44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</row>
    <row r="3" spans="1:19" x14ac:dyDescent="0.2">
      <c r="A3" s="3" t="s">
        <v>45</v>
      </c>
      <c r="B3" s="3" t="s">
        <v>46</v>
      </c>
      <c r="C3" s="3" t="s">
        <v>47</v>
      </c>
      <c r="D3" s="3" t="s">
        <v>48</v>
      </c>
      <c r="E3" s="3" t="s">
        <v>49</v>
      </c>
      <c r="F3" s="3" t="s">
        <v>50</v>
      </c>
      <c r="G3" s="3" t="s">
        <v>51</v>
      </c>
      <c r="H3" s="3" t="s">
        <v>52</v>
      </c>
      <c r="I3" s="3" t="s">
        <v>53</v>
      </c>
      <c r="J3" s="3" t="s">
        <v>54</v>
      </c>
      <c r="K3" s="3" t="s">
        <v>55</v>
      </c>
      <c r="L3" s="3" t="s">
        <v>56</v>
      </c>
      <c r="M3" s="3" t="s">
        <v>57</v>
      </c>
      <c r="N3" s="3" t="s">
        <v>58</v>
      </c>
      <c r="O3" s="3" t="s">
        <v>59</v>
      </c>
      <c r="P3" s="3" t="s">
        <v>60</v>
      </c>
      <c r="Q3" s="3" t="s">
        <v>61</v>
      </c>
      <c r="R3" s="3" t="s">
        <v>62</v>
      </c>
      <c r="S3" s="3" t="s">
        <v>63</v>
      </c>
    </row>
    <row r="4" spans="1:19" x14ac:dyDescent="0.2">
      <c r="A4" s="9">
        <v>1</v>
      </c>
      <c r="B4" s="17">
        <f>Supuestos!B4</f>
        <v>1500</v>
      </c>
      <c r="C4" s="17">
        <f>B4</f>
        <v>1500</v>
      </c>
      <c r="D4" s="17">
        <f>IF(Supuestos!B13&gt;0,N4/Supuestos!B13,0)</f>
        <v>1666.6666666666667</v>
      </c>
      <c r="E4" s="17">
        <f t="shared" ref="E4:E35" si="0">MAX(C4-D4,0)</f>
        <v>0</v>
      </c>
      <c r="F4" s="10">
        <f>Supuestos!B31</f>
        <v>55</v>
      </c>
      <c r="G4" s="10">
        <f t="shared" ref="G4:G35" si="1">H4+I4+J4</f>
        <v>2508000</v>
      </c>
      <c r="H4" s="10">
        <f>B4*Supuestos!B16*Supuestos!B8</f>
        <v>1596000</v>
      </c>
      <c r="I4" s="10">
        <f>B4*Supuestos!B17*Supuestos!B8</f>
        <v>684000</v>
      </c>
      <c r="J4" s="10">
        <f>B4*Supuestos!B18*Supuestos!B8</f>
        <v>228000</v>
      </c>
      <c r="K4" s="10">
        <f>B4*Supuestos!B21*Supuestos!B8</f>
        <v>182400</v>
      </c>
      <c r="L4" s="10">
        <f>Supuestos!B22+Supuestos!B23+Supuestos!B24+Supuestos!B25</f>
        <v>25000</v>
      </c>
      <c r="M4" s="10">
        <f>Supuestos!B26</f>
        <v>6000</v>
      </c>
      <c r="N4" s="10">
        <f>Supuestos!B11</f>
        <v>30000</v>
      </c>
      <c r="O4" s="10">
        <f t="shared" ref="O4:O35" si="2">K4+L4+M4+N4</f>
        <v>243400</v>
      </c>
      <c r="P4" s="10">
        <f t="shared" ref="P4:P35" si="3">G4-O4</f>
        <v>2264600</v>
      </c>
      <c r="Q4" s="10">
        <f>IF(B4*Supuestos!B8&gt;0,P4/(B4*Supuestos!B8),0)</f>
        <v>49.662280701754383</v>
      </c>
      <c r="R4" s="10">
        <f t="shared" ref="R4:R35" si="4">IF(C4&gt;0,N4/C4,0)</f>
        <v>20</v>
      </c>
      <c r="S4" s="11">
        <f t="shared" ref="S4:S35" si="5">IF(G4&gt;0,P4/G4,0)</f>
        <v>0.90295055821371606</v>
      </c>
    </row>
    <row r="5" spans="1:19" x14ac:dyDescent="0.2">
      <c r="A5" s="9">
        <v>2</v>
      </c>
      <c r="B5" s="17">
        <f>MIN(Supuestos!B5,B4*(1+Supuestos!B6+Supuestos!B7)+D5)</f>
        <v>3403.3333333333335</v>
      </c>
      <c r="C5" s="17">
        <f>B4*(Supuestos!B6+Supuestos!B7)+D5</f>
        <v>1903.3333333333335</v>
      </c>
      <c r="D5" s="17">
        <f>IF(Supuestos!B13&gt;0,N5/Supuestos!B13,0)</f>
        <v>1783.3333333333335</v>
      </c>
      <c r="E5" s="17">
        <f t="shared" si="0"/>
        <v>120</v>
      </c>
      <c r="F5" s="10">
        <f>Supuestos!B31</f>
        <v>55</v>
      </c>
      <c r="G5" s="10">
        <f t="shared" si="1"/>
        <v>5690373.333333333</v>
      </c>
      <c r="H5" s="10">
        <f>B5*Supuestos!B16*Supuestos!B8</f>
        <v>3621146.6666666665</v>
      </c>
      <c r="I5" s="10">
        <f>B5*Supuestos!B17*Supuestos!B8</f>
        <v>1551920</v>
      </c>
      <c r="J5" s="10">
        <f>B5*Supuestos!B18*Supuestos!B8</f>
        <v>517306.66666666669</v>
      </c>
      <c r="K5" s="10">
        <f>B5*Supuestos!B21*Supuestos!B8</f>
        <v>413845.33333333331</v>
      </c>
      <c r="L5" s="10">
        <f>Supuestos!B22+Supuestos!B23+Supuestos!B24+Supuestos!B25</f>
        <v>25000</v>
      </c>
      <c r="M5" s="10">
        <f>Supuestos!B26</f>
        <v>6000</v>
      </c>
      <c r="N5" s="10">
        <f>N4*(1+Supuestos!B12)</f>
        <v>32100.000000000004</v>
      </c>
      <c r="O5" s="10">
        <f t="shared" si="2"/>
        <v>476945.33333333331</v>
      </c>
      <c r="P5" s="10">
        <f t="shared" si="3"/>
        <v>5213428</v>
      </c>
      <c r="Q5" s="10">
        <f>IF(B5*Supuestos!B8&gt;0,P5/(B5*Supuestos!B8),0)</f>
        <v>50.390110314964694</v>
      </c>
      <c r="R5" s="10">
        <f t="shared" si="4"/>
        <v>16.865148861646237</v>
      </c>
      <c r="S5" s="11">
        <f t="shared" si="5"/>
        <v>0.91618382390844899</v>
      </c>
    </row>
    <row r="6" spans="1:19" x14ac:dyDescent="0.2">
      <c r="A6" s="9">
        <v>3</v>
      </c>
      <c r="B6" s="17">
        <f>MIN(Supuestos!B5,B5*(1+Supuestos!B6+Supuestos!B7)+D6)</f>
        <v>5583.7666666666673</v>
      </c>
      <c r="C6" s="17">
        <f>B5*(Supuestos!B6+Supuestos!B7)+D6</f>
        <v>2180.4333333333338</v>
      </c>
      <c r="D6" s="17">
        <f>IF(Supuestos!B13&gt;0,N6/Supuestos!B13,0)</f>
        <v>1908.166666666667</v>
      </c>
      <c r="E6" s="17">
        <f t="shared" si="0"/>
        <v>272.26666666666688</v>
      </c>
      <c r="F6" s="10">
        <f>Supuestos!B31</f>
        <v>55</v>
      </c>
      <c r="G6" s="10">
        <f t="shared" si="1"/>
        <v>9336057.8666666672</v>
      </c>
      <c r="H6" s="10">
        <f>B6*Supuestos!B16*Supuestos!B8</f>
        <v>5941127.7333333334</v>
      </c>
      <c r="I6" s="10">
        <f>B6*Supuestos!B17*Supuestos!B8</f>
        <v>2546197.6</v>
      </c>
      <c r="J6" s="10">
        <f>B6*Supuestos!B18*Supuestos!B8</f>
        <v>848732.53333333333</v>
      </c>
      <c r="K6" s="10">
        <f>B6*Supuestos!B21*Supuestos!B8</f>
        <v>678986.02666666673</v>
      </c>
      <c r="L6" s="10">
        <f>Supuestos!B22+Supuestos!B23+Supuestos!B24+Supuestos!B25</f>
        <v>25000</v>
      </c>
      <c r="M6" s="10">
        <f>Supuestos!B26</f>
        <v>6000</v>
      </c>
      <c r="N6" s="10">
        <f>N5*(1+Supuestos!B12)</f>
        <v>34347.000000000007</v>
      </c>
      <c r="O6" s="10">
        <f t="shared" si="2"/>
        <v>744333.02666666673</v>
      </c>
      <c r="P6" s="10">
        <f t="shared" si="3"/>
        <v>8591724.8399999999</v>
      </c>
      <c r="Q6" s="10">
        <f>IF(B6*Supuestos!B8&gt;0,P6/(B6*Supuestos!B8),0)</f>
        <v>50.615031841990579</v>
      </c>
      <c r="R6" s="10">
        <f t="shared" si="4"/>
        <v>15.752373381437939</v>
      </c>
      <c r="S6" s="11">
        <f t="shared" si="5"/>
        <v>0.92027330621801051</v>
      </c>
    </row>
    <row r="7" spans="1:19" x14ac:dyDescent="0.2">
      <c r="A7" s="9">
        <v>4</v>
      </c>
      <c r="B7" s="17">
        <f>MIN(Supuestos!B5,B6*(1+Supuestos!B6+Supuestos!B7)+D7)</f>
        <v>8072.2063333333344</v>
      </c>
      <c r="C7" s="17">
        <f>B6*(Supuestos!B6+Supuestos!B7)+D7</f>
        <v>2488.4396666666671</v>
      </c>
      <c r="D7" s="17">
        <f>IF(Supuestos!B13&gt;0,N7/Supuestos!B13,0)</f>
        <v>2041.7383333333337</v>
      </c>
      <c r="E7" s="17">
        <f t="shared" si="0"/>
        <v>446.70133333333342</v>
      </c>
      <c r="F7" s="10">
        <f>Supuestos!B31</f>
        <v>55</v>
      </c>
      <c r="G7" s="10">
        <f t="shared" si="1"/>
        <v>13496728.989333335</v>
      </c>
      <c r="H7" s="10">
        <f>B7*Supuestos!B16*Supuestos!B8</f>
        <v>8588827.5386666674</v>
      </c>
      <c r="I7" s="10">
        <f>B7*Supuestos!B17*Supuestos!B8</f>
        <v>3680926.0880000005</v>
      </c>
      <c r="J7" s="10">
        <f>B7*Supuestos!B18*Supuestos!B8</f>
        <v>1226975.3626666667</v>
      </c>
      <c r="K7" s="10">
        <f>B7*Supuestos!B21*Supuestos!B8</f>
        <v>981580.29013333342</v>
      </c>
      <c r="L7" s="10">
        <f>Supuestos!B22+Supuestos!B23+Supuestos!B24+Supuestos!B25</f>
        <v>25000</v>
      </c>
      <c r="M7" s="10">
        <f>Supuestos!B26</f>
        <v>6000</v>
      </c>
      <c r="N7" s="10">
        <f>N6*(1+Supuestos!B12)</f>
        <v>36751.290000000008</v>
      </c>
      <c r="O7" s="10">
        <f t="shared" si="2"/>
        <v>1049331.5801333333</v>
      </c>
      <c r="P7" s="10">
        <f t="shared" si="3"/>
        <v>12447397.409200002</v>
      </c>
      <c r="Q7" s="10">
        <f>IF(B7*Supuestos!B8&gt;0,P7/(B7*Supuestos!B8),0)</f>
        <v>50.723909329960989</v>
      </c>
      <c r="R7" s="10">
        <f t="shared" si="4"/>
        <v>14.768808941721044</v>
      </c>
      <c r="S7" s="11">
        <f t="shared" si="5"/>
        <v>0.92225289690838153</v>
      </c>
    </row>
    <row r="8" spans="1:19" x14ac:dyDescent="0.2">
      <c r="A8" s="9">
        <v>5</v>
      </c>
      <c r="B8" s="17">
        <f>MIN(Supuestos!B5,B7*(1+Supuestos!B6+Supuestos!B7)+D8)</f>
        <v>10902.642856666669</v>
      </c>
      <c r="C8" s="17">
        <f>B7*(Supuestos!B6+Supuestos!B7)+D8</f>
        <v>2830.4365233333338</v>
      </c>
      <c r="D8" s="17">
        <f>IF(Supuestos!B13&gt;0,N8/Supuestos!B13,0)</f>
        <v>2184.6600166666672</v>
      </c>
      <c r="E8" s="17">
        <f t="shared" si="0"/>
        <v>645.77650666666659</v>
      </c>
      <c r="F8" s="10">
        <f>Supuestos!B31</f>
        <v>55</v>
      </c>
      <c r="G8" s="10">
        <f t="shared" si="1"/>
        <v>18229218.856346671</v>
      </c>
      <c r="H8" s="10">
        <f>B8*Supuestos!B16*Supuestos!B8</f>
        <v>11600411.999493334</v>
      </c>
      <c r="I8" s="10">
        <f>B8*Supuestos!B17*Supuestos!B8</f>
        <v>4971605.1426400011</v>
      </c>
      <c r="J8" s="10">
        <f>B8*Supuestos!B18*Supuestos!B8</f>
        <v>1657201.7142133338</v>
      </c>
      <c r="K8" s="10">
        <f>B8*Supuestos!B21*Supuestos!B8</f>
        <v>1325761.3713706669</v>
      </c>
      <c r="L8" s="10">
        <f>Supuestos!B22+Supuestos!B23+Supuestos!B24+Supuestos!B25</f>
        <v>25000</v>
      </c>
      <c r="M8" s="10">
        <f>Supuestos!B26</f>
        <v>6000</v>
      </c>
      <c r="N8" s="10">
        <f>N7*(1+Supuestos!B12)</f>
        <v>39323.880300000012</v>
      </c>
      <c r="O8" s="10">
        <f t="shared" si="2"/>
        <v>1396085.251670667</v>
      </c>
      <c r="P8" s="10">
        <f t="shared" si="3"/>
        <v>16833133.604676004</v>
      </c>
      <c r="Q8" s="10">
        <f>IF(B8*Supuestos!B8&gt;0,P8/(B8*Supuestos!B8),0)</f>
        <v>50.787823414322915</v>
      </c>
      <c r="R8" s="10">
        <f t="shared" si="4"/>
        <v>13.893221054711825</v>
      </c>
      <c r="S8" s="11">
        <f t="shared" si="5"/>
        <v>0.92341497116950755</v>
      </c>
    </row>
    <row r="9" spans="1:19" x14ac:dyDescent="0.2">
      <c r="A9" s="9">
        <v>6</v>
      </c>
      <c r="B9" s="17">
        <f>MIN(Supuestos!B5,B8*(1+Supuestos!B6+Supuestos!B7)+D9)</f>
        <v>14112.440503033336</v>
      </c>
      <c r="C9" s="17">
        <f>B8*(Supuestos!B6+Supuestos!B7)+D9</f>
        <v>3209.7976463666678</v>
      </c>
      <c r="D9" s="17">
        <f>IF(Supuestos!B13&gt;0,N9/Supuestos!B13,0)</f>
        <v>2337.5862178333341</v>
      </c>
      <c r="E9" s="17">
        <f t="shared" si="0"/>
        <v>872.21142853333367</v>
      </c>
      <c r="F9" s="10">
        <f>Supuestos!B31</f>
        <v>55</v>
      </c>
      <c r="G9" s="10">
        <f t="shared" si="1"/>
        <v>23596000.521071739</v>
      </c>
      <c r="H9" s="10">
        <f>B9*Supuestos!B16*Supuestos!B8</f>
        <v>15015636.69522747</v>
      </c>
      <c r="I9" s="10">
        <f>B9*Supuestos!B17*Supuestos!B8</f>
        <v>6435272.869383201</v>
      </c>
      <c r="J9" s="10">
        <f>B9*Supuestos!B18*Supuestos!B8</f>
        <v>2145090.9564610673</v>
      </c>
      <c r="K9" s="10">
        <f>B9*Supuestos!B21*Supuestos!B8</f>
        <v>1716072.7651688536</v>
      </c>
      <c r="L9" s="10">
        <f>Supuestos!B22+Supuestos!B23+Supuestos!B24+Supuestos!B25</f>
        <v>25000</v>
      </c>
      <c r="M9" s="10">
        <f>Supuestos!B26</f>
        <v>6000</v>
      </c>
      <c r="N9" s="10">
        <f>N8*(1+Supuestos!B12)</f>
        <v>42076.551921000013</v>
      </c>
      <c r="O9" s="10">
        <f t="shared" si="2"/>
        <v>1789149.3170898536</v>
      </c>
      <c r="P9" s="10">
        <f t="shared" si="3"/>
        <v>21806851.203981888</v>
      </c>
      <c r="Q9" s="10">
        <f>IF(B9*Supuestos!B8&gt;0,P9/(B9*Supuestos!B8),0)</f>
        <v>50.82966560998058</v>
      </c>
      <c r="R9" s="10">
        <f t="shared" si="4"/>
        <v>13.10878645843254</v>
      </c>
      <c r="S9" s="11">
        <f t="shared" si="5"/>
        <v>0.92417573836328315</v>
      </c>
    </row>
    <row r="10" spans="1:19" x14ac:dyDescent="0.2">
      <c r="A10" s="9">
        <v>7</v>
      </c>
      <c r="B10" s="17">
        <f>MIN(Supuestos!B5,B9*(1+Supuestos!B6+Supuestos!B7)+D10)</f>
        <v>17742.652996357672</v>
      </c>
      <c r="C10" s="17">
        <f>B9*(Supuestos!B6+Supuestos!B7)+D10</f>
        <v>3630.2124933243344</v>
      </c>
      <c r="D10" s="17">
        <f>IF(Supuestos!B13&gt;0,N10/Supuestos!B13,0)</f>
        <v>2501.2172530816674</v>
      </c>
      <c r="E10" s="17">
        <f t="shared" si="0"/>
        <v>1128.995240242667</v>
      </c>
      <c r="F10" s="10">
        <f>Supuestos!B31</f>
        <v>55</v>
      </c>
      <c r="G10" s="10">
        <f t="shared" si="1"/>
        <v>29665715.809910029</v>
      </c>
      <c r="H10" s="10">
        <f>B10*Supuestos!B16*Supuestos!B8</f>
        <v>18878182.788124565</v>
      </c>
      <c r="I10" s="10">
        <f>B10*Supuestos!B17*Supuestos!B8</f>
        <v>8090649.766339099</v>
      </c>
      <c r="J10" s="10">
        <f>B10*Supuestos!B18*Supuestos!B8</f>
        <v>2696883.255446366</v>
      </c>
      <c r="K10" s="10">
        <f>B10*Supuestos!B21*Supuestos!B8</f>
        <v>2157506.6043570926</v>
      </c>
      <c r="L10" s="10">
        <f>Supuestos!B22+Supuestos!B23+Supuestos!B24+Supuestos!B25</f>
        <v>25000</v>
      </c>
      <c r="M10" s="10">
        <f>Supuestos!B26</f>
        <v>6000</v>
      </c>
      <c r="N10" s="10">
        <f>N9*(1+Supuestos!B12)</f>
        <v>45021.910555470015</v>
      </c>
      <c r="O10" s="10">
        <f t="shared" si="2"/>
        <v>2233528.5149125624</v>
      </c>
      <c r="P10" s="10">
        <f t="shared" si="3"/>
        <v>27432187.294997469</v>
      </c>
      <c r="Q10" s="10">
        <f>IF(B10*Supuestos!B8&gt;0,P10/(B10*Supuestos!B8),0)</f>
        <v>50.859055985456664</v>
      </c>
      <c r="R10" s="10">
        <f t="shared" si="4"/>
        <v>12.402004190735845</v>
      </c>
      <c r="S10" s="11">
        <f t="shared" si="5"/>
        <v>0.92471010882648463</v>
      </c>
    </row>
    <row r="11" spans="1:19" x14ac:dyDescent="0.2">
      <c r="A11" s="9">
        <v>8</v>
      </c>
      <c r="B11" s="17">
        <f>MIN(Supuestos!B5,B10*(1+Supuestos!B6+Supuestos!B7)+D11)</f>
        <v>21838.367696863672</v>
      </c>
      <c r="C11" s="17">
        <f>B10*(Supuestos!B6+Supuestos!B7)+D11</f>
        <v>4095.7147005059978</v>
      </c>
      <c r="D11" s="17">
        <f>IF(Supuestos!B13&gt;0,N11/Supuestos!B13,0)</f>
        <v>2676.3024607973844</v>
      </c>
      <c r="E11" s="17">
        <f t="shared" si="0"/>
        <v>1419.4122397086135</v>
      </c>
      <c r="F11" s="10">
        <f>Supuestos!B31</f>
        <v>55</v>
      </c>
      <c r="G11" s="10">
        <f t="shared" si="1"/>
        <v>36513750.789156057</v>
      </c>
      <c r="H11" s="10">
        <f>B11*Supuestos!B16*Supuestos!B8</f>
        <v>23236023.229462948</v>
      </c>
      <c r="I11" s="10">
        <f>B11*Supuestos!B17*Supuestos!B8</f>
        <v>9958295.6697698347</v>
      </c>
      <c r="J11" s="10">
        <f>B11*Supuestos!B18*Supuestos!B8</f>
        <v>3319431.8899232778</v>
      </c>
      <c r="K11" s="10">
        <f>B11*Supuestos!B21*Supuestos!B8</f>
        <v>2655545.5119386222</v>
      </c>
      <c r="L11" s="10">
        <f>Supuestos!B22+Supuestos!B23+Supuestos!B24+Supuestos!B25</f>
        <v>25000</v>
      </c>
      <c r="M11" s="10">
        <f>Supuestos!B26</f>
        <v>6000</v>
      </c>
      <c r="N11" s="10">
        <f>N10*(1+Supuestos!B12)</f>
        <v>48173.444294352921</v>
      </c>
      <c r="O11" s="10">
        <f t="shared" si="2"/>
        <v>2734718.9562329752</v>
      </c>
      <c r="P11" s="10">
        <f t="shared" si="3"/>
        <v>33779031.832923084</v>
      </c>
      <c r="Q11" s="10">
        <f>IF(B11*Supuestos!B8&gt;0,P11/(B11*Supuestos!B8),0)</f>
        <v>50.880742478050699</v>
      </c>
      <c r="R11" s="10">
        <f t="shared" si="4"/>
        <v>11.761914053340048</v>
      </c>
      <c r="S11" s="11">
        <f t="shared" si="5"/>
        <v>0.92510440869183086</v>
      </c>
    </row>
    <row r="12" spans="1:19" x14ac:dyDescent="0.2">
      <c r="A12" s="9">
        <v>9</v>
      </c>
      <c r="B12" s="17">
        <f>MIN(Supuestos!B5,B11*(1+Supuestos!B6+Supuestos!B7)+D12)</f>
        <v>26449.080745665968</v>
      </c>
      <c r="C12" s="17">
        <f>B11*(Supuestos!B6+Supuestos!B7)+D12</f>
        <v>4610.7130488022958</v>
      </c>
      <c r="D12" s="17">
        <f>IF(Supuestos!B13&gt;0,N12/Supuestos!B13,0)</f>
        <v>2863.6436330532015</v>
      </c>
      <c r="E12" s="17">
        <f t="shared" si="0"/>
        <v>1747.0694157490943</v>
      </c>
      <c r="F12" s="10">
        <f>Supuestos!B31</f>
        <v>55</v>
      </c>
      <c r="G12" s="10">
        <f t="shared" si="1"/>
        <v>44222863.006753489</v>
      </c>
      <c r="H12" s="10">
        <f>B12*Supuestos!B16*Supuestos!B8</f>
        <v>28141821.913388588</v>
      </c>
      <c r="I12" s="10">
        <f>B12*Supuestos!B17*Supuestos!B8</f>
        <v>12060780.820023682</v>
      </c>
      <c r="J12" s="10">
        <f>B12*Supuestos!B18*Supuestos!B8</f>
        <v>4020260.2733412269</v>
      </c>
      <c r="K12" s="10">
        <f>B12*Supuestos!B21*Supuestos!B8</f>
        <v>3216208.2186729815</v>
      </c>
      <c r="L12" s="10">
        <f>Supuestos!B22+Supuestos!B23+Supuestos!B24+Supuestos!B25</f>
        <v>25000</v>
      </c>
      <c r="M12" s="10">
        <f>Supuestos!B26</f>
        <v>6000</v>
      </c>
      <c r="N12" s="10">
        <f>N11*(1+Supuestos!B12)</f>
        <v>51545.585394957627</v>
      </c>
      <c r="O12" s="10">
        <f t="shared" si="2"/>
        <v>3298753.8040679391</v>
      </c>
      <c r="P12" s="10">
        <f t="shared" si="3"/>
        <v>40924109.20268555</v>
      </c>
      <c r="Q12" s="10">
        <f>IF(B12*Supuestos!B8&gt;0,P12/(B12*Supuestos!B8),0)</f>
        <v>50.897338008259901</v>
      </c>
      <c r="R12" s="10">
        <f t="shared" si="4"/>
        <v>11.179525780366529</v>
      </c>
      <c r="S12" s="11">
        <f t="shared" si="5"/>
        <v>0.92540614560472556</v>
      </c>
    </row>
    <row r="13" spans="1:19" x14ac:dyDescent="0.2">
      <c r="A13" s="9">
        <v>10</v>
      </c>
      <c r="B13" s="17">
        <f>MIN(Supuestos!B5,B12*(1+Supuestos!B6+Supuestos!B7)+D13)</f>
        <v>31629.10589268617</v>
      </c>
      <c r="C13" s="17">
        <f>B12*(Supuestos!B6+Supuestos!B7)+D13</f>
        <v>5180.0251470202038</v>
      </c>
      <c r="D13" s="17">
        <f>IF(Supuestos!B13&gt;0,N13/Supuestos!B13,0)</f>
        <v>3064.0986873669258</v>
      </c>
      <c r="E13" s="17">
        <f t="shared" si="0"/>
        <v>2115.926459653278</v>
      </c>
      <c r="F13" s="10">
        <f>Supuestos!B31</f>
        <v>55</v>
      </c>
      <c r="G13" s="10">
        <f t="shared" si="1"/>
        <v>52883865.052571274</v>
      </c>
      <c r="H13" s="10">
        <f>B13*Supuestos!B16*Supuestos!B8</f>
        <v>33653368.669818081</v>
      </c>
      <c r="I13" s="10">
        <f>B13*Supuestos!B17*Supuestos!B8</f>
        <v>14422872.287064893</v>
      </c>
      <c r="J13" s="10">
        <f>B13*Supuestos!B18*Supuestos!B8</f>
        <v>4807624.0956882974</v>
      </c>
      <c r="K13" s="10">
        <f>B13*Supuestos!B21*Supuestos!B8</f>
        <v>3846099.276550638</v>
      </c>
      <c r="L13" s="10">
        <f>Supuestos!B22+Supuestos!B23+Supuestos!B24+Supuestos!B25</f>
        <v>25000</v>
      </c>
      <c r="M13" s="10">
        <f>Supuestos!B26</f>
        <v>6000</v>
      </c>
      <c r="N13" s="10">
        <f>N12*(1+Supuestos!B12)</f>
        <v>55153.776372604661</v>
      </c>
      <c r="O13" s="10">
        <f t="shared" si="2"/>
        <v>3932253.0529232426</v>
      </c>
      <c r="P13" s="10">
        <f t="shared" si="3"/>
        <v>48951611.999648035</v>
      </c>
      <c r="Q13" s="10">
        <f>IF(B13*Supuestos!B8&gt;0,P13/(B13*Supuestos!B8),0)</f>
        <v>50.910398801302016</v>
      </c>
      <c r="R13" s="10">
        <f t="shared" si="4"/>
        <v>10.647395486937304</v>
      </c>
      <c r="S13" s="11">
        <f t="shared" si="5"/>
        <v>0.92564361456912747</v>
      </c>
    </row>
    <row r="14" spans="1:19" x14ac:dyDescent="0.2">
      <c r="A14" s="9">
        <v>11</v>
      </c>
      <c r="B14" s="17">
        <f>MIN(Supuestos!B5,B13*(1+Supuestos!B6+Supuestos!B7)+D14)</f>
        <v>37438.019959583675</v>
      </c>
      <c r="C14" s="17">
        <f>B13*(Supuestos!B6+Supuestos!B7)+D14</f>
        <v>5808.9140668975042</v>
      </c>
      <c r="D14" s="17">
        <f>IF(Supuestos!B13&gt;0,N14/Supuestos!B13,0)</f>
        <v>3278.5855954826106</v>
      </c>
      <c r="E14" s="17">
        <f t="shared" si="0"/>
        <v>2530.3284714148936</v>
      </c>
      <c r="F14" s="10">
        <f>Supuestos!B31</f>
        <v>55</v>
      </c>
      <c r="G14" s="10">
        <f t="shared" si="1"/>
        <v>62596369.372423902</v>
      </c>
      <c r="H14" s="10">
        <f>B14*Supuestos!B16*Supuestos!B8</f>
        <v>39834053.236997023</v>
      </c>
      <c r="I14" s="10">
        <f>B14*Supuestos!B17*Supuestos!B8</f>
        <v>17071737.101570155</v>
      </c>
      <c r="J14" s="10">
        <f>B14*Supuestos!B18*Supuestos!B8</f>
        <v>5690579.0338567179</v>
      </c>
      <c r="K14" s="10">
        <f>B14*Supuestos!B21*Supuestos!B8</f>
        <v>4552463.2270853743</v>
      </c>
      <c r="L14" s="10">
        <f>Supuestos!B22+Supuestos!B23+Supuestos!B24+Supuestos!B25</f>
        <v>25000</v>
      </c>
      <c r="M14" s="10">
        <f>Supuestos!B26</f>
        <v>6000</v>
      </c>
      <c r="N14" s="10">
        <f>N13*(1+Supuestos!B12)</f>
        <v>59014.540718686992</v>
      </c>
      <c r="O14" s="10">
        <f t="shared" si="2"/>
        <v>4642477.7678040611</v>
      </c>
      <c r="P14" s="10">
        <f t="shared" si="3"/>
        <v>57953891.604619838</v>
      </c>
      <c r="Q14" s="10">
        <f>IF(B14*Supuestos!B8&gt;0,P14/(B14*Supuestos!B8),0)</f>
        <v>50.920909155128911</v>
      </c>
      <c r="R14" s="10">
        <f t="shared" si="4"/>
        <v>10.159306892657511</v>
      </c>
      <c r="S14" s="11">
        <f t="shared" si="5"/>
        <v>0.92583471191143474</v>
      </c>
    </row>
    <row r="15" spans="1:19" x14ac:dyDescent="0.2">
      <c r="A15" s="9">
        <v>12</v>
      </c>
      <c r="B15" s="17">
        <f>MIN(Supuestos!B5,B14*(1+Supuestos!B6+Supuestos!B7)+D15)</f>
        <v>43941.148143516766</v>
      </c>
      <c r="C15" s="17">
        <f>B14*(Supuestos!B6+Supuestos!B7)+D15</f>
        <v>6503.1281839330877</v>
      </c>
      <c r="D15" s="17">
        <f>IF(Supuestos!B13&gt;0,N15/Supuestos!B13,0)</f>
        <v>3508.0865871663937</v>
      </c>
      <c r="E15" s="17">
        <f t="shared" si="0"/>
        <v>2995.0415967666941</v>
      </c>
      <c r="F15" s="10">
        <f>Supuestos!B31</f>
        <v>55</v>
      </c>
      <c r="G15" s="10">
        <f t="shared" si="1"/>
        <v>73469599.69596003</v>
      </c>
      <c r="H15" s="10">
        <f>B15*Supuestos!B16*Supuestos!B8</f>
        <v>46753381.624701835</v>
      </c>
      <c r="I15" s="10">
        <f>B15*Supuestos!B17*Supuestos!B8</f>
        <v>20037163.553443644</v>
      </c>
      <c r="J15" s="10">
        <f>B15*Supuestos!B18*Supuestos!B8</f>
        <v>6679054.5178145478</v>
      </c>
      <c r="K15" s="10">
        <f>B15*Supuestos!B21*Supuestos!B8</f>
        <v>5343243.6142516388</v>
      </c>
      <c r="L15" s="10">
        <f>Supuestos!B22+Supuestos!B23+Supuestos!B24+Supuestos!B25</f>
        <v>25000</v>
      </c>
      <c r="M15" s="10">
        <f>Supuestos!B26</f>
        <v>6000</v>
      </c>
      <c r="N15" s="10">
        <f>N14*(1+Supuestos!B12)</f>
        <v>63145.558568995082</v>
      </c>
      <c r="O15" s="10">
        <f t="shared" si="2"/>
        <v>5437389.1728206342</v>
      </c>
      <c r="P15" s="10">
        <f t="shared" si="3"/>
        <v>68032210.523139402</v>
      </c>
      <c r="Q15" s="10">
        <f>IF(B15*Supuestos!B8&gt;0,P15/(B15*Supuestos!B8),0)</f>
        <v>50.92952179210554</v>
      </c>
      <c r="R15" s="10">
        <f t="shared" si="4"/>
        <v>9.7100282791603671</v>
      </c>
      <c r="S15" s="11">
        <f t="shared" si="5"/>
        <v>0.92599130531100993</v>
      </c>
    </row>
    <row r="16" spans="1:19" x14ac:dyDescent="0.2">
      <c r="A16" s="9">
        <v>13</v>
      </c>
      <c r="B16" s="17">
        <f>MIN(Supuestos!B5,B15*(1+Supuestos!B6+Supuestos!B7)+D16)</f>
        <v>51210.092643266151</v>
      </c>
      <c r="C16" s="17">
        <f>B15*(Supuestos!B6+Supuestos!B7)+D16</f>
        <v>7268.9444997493829</v>
      </c>
      <c r="D16" s="17">
        <f>IF(Supuestos!B13&gt;0,N16/Supuestos!B13,0)</f>
        <v>3753.652648268041</v>
      </c>
      <c r="E16" s="17">
        <f t="shared" si="0"/>
        <v>3515.2918514813418</v>
      </c>
      <c r="F16" s="10">
        <f>Supuestos!B31</f>
        <v>55</v>
      </c>
      <c r="G16" s="10">
        <f t="shared" si="1"/>
        <v>85623274.899541005</v>
      </c>
      <c r="H16" s="10">
        <f>B16*Supuestos!B16*Supuestos!B8</f>
        <v>54487538.572435185</v>
      </c>
      <c r="I16" s="10">
        <f>B16*Supuestos!B17*Supuestos!B8</f>
        <v>23351802.245329361</v>
      </c>
      <c r="J16" s="10">
        <f>B16*Supuestos!B18*Supuestos!B8</f>
        <v>7783934.0817764541</v>
      </c>
      <c r="K16" s="10">
        <f>B16*Supuestos!B21*Supuestos!B8</f>
        <v>6227147.2654211633</v>
      </c>
      <c r="L16" s="10">
        <f>Supuestos!B22+Supuestos!B23+Supuestos!B24+Supuestos!B25</f>
        <v>25000</v>
      </c>
      <c r="M16" s="10">
        <f>Supuestos!B26</f>
        <v>6000</v>
      </c>
      <c r="N16" s="10">
        <f>N15*(1+Supuestos!B12)</f>
        <v>67565.747668824741</v>
      </c>
      <c r="O16" s="10">
        <f t="shared" si="2"/>
        <v>6325713.0130899884</v>
      </c>
      <c r="P16" s="10">
        <f t="shared" si="3"/>
        <v>79297561.886451021</v>
      </c>
      <c r="Q16" s="10">
        <f>IF(B16*Supuestos!B8&gt;0,P16/(B16*Supuestos!B8),0)</f>
        <v>50.93668641933931</v>
      </c>
      <c r="R16" s="10">
        <f t="shared" si="4"/>
        <v>9.2951249897635417</v>
      </c>
      <c r="S16" s="11">
        <f t="shared" si="5"/>
        <v>0.92612157126071459</v>
      </c>
    </row>
    <row r="17" spans="1:19" x14ac:dyDescent="0.2">
      <c r="A17" s="9">
        <v>14</v>
      </c>
      <c r="B17" s="17">
        <f>MIN(Supuestos!B5,B16*(1+Supuestos!B6+Supuestos!B7)+D17)</f>
        <v>59323.308388374251</v>
      </c>
      <c r="C17" s="17">
        <f>B16*(Supuestos!B6+Supuestos!B7)+D17</f>
        <v>8113.2157451080966</v>
      </c>
      <c r="D17" s="17">
        <f>IF(Supuestos!B13&gt;0,N17/Supuestos!B13,0)</f>
        <v>4016.4083336468047</v>
      </c>
      <c r="E17" s="17">
        <f t="shared" si="0"/>
        <v>4096.8074114612918</v>
      </c>
      <c r="F17" s="10">
        <f>Supuestos!B31</f>
        <v>55</v>
      </c>
      <c r="G17" s="10">
        <f t="shared" si="1"/>
        <v>99188571.625361741</v>
      </c>
      <c r="H17" s="10">
        <f>B17*Supuestos!B16*Supuestos!B8</f>
        <v>63120000.125230201</v>
      </c>
      <c r="I17" s="10">
        <f>B17*Supuestos!B17*Supuestos!B8</f>
        <v>27051428.625098657</v>
      </c>
      <c r="J17" s="10">
        <f>B17*Supuestos!B18*Supuestos!B8</f>
        <v>9017142.8750328869</v>
      </c>
      <c r="K17" s="10">
        <f>B17*Supuestos!B21*Supuestos!B8</f>
        <v>7213714.3000263087</v>
      </c>
      <c r="L17" s="10">
        <f>Supuestos!B22+Supuestos!B23+Supuestos!B24+Supuestos!B25</f>
        <v>25000</v>
      </c>
      <c r="M17" s="10">
        <f>Supuestos!B26</f>
        <v>6000</v>
      </c>
      <c r="N17" s="10">
        <f>N16*(1+Supuestos!B12)</f>
        <v>72295.350005642482</v>
      </c>
      <c r="O17" s="10">
        <f t="shared" si="2"/>
        <v>7317009.6500319513</v>
      </c>
      <c r="P17" s="10">
        <f t="shared" si="3"/>
        <v>91871561.975329787</v>
      </c>
      <c r="Q17" s="10">
        <f>IF(B17*Supuestos!B8&gt;0,P17/(B17*Supuestos!B8),0)</f>
        <v>50.942722793995166</v>
      </c>
      <c r="R17" s="10">
        <f t="shared" si="4"/>
        <v>8.9108132061240113</v>
      </c>
      <c r="S17" s="11">
        <f t="shared" si="5"/>
        <v>0.92623132352718496</v>
      </c>
    </row>
    <row r="18" spans="1:19" x14ac:dyDescent="0.2">
      <c r="A18" s="9">
        <v>15</v>
      </c>
      <c r="B18" s="17">
        <f>MIN(Supuestos!B5,B17*(1+Supuestos!B6+Supuestos!B7)+D18)</f>
        <v>68366.72997644628</v>
      </c>
      <c r="C18" s="17">
        <f>B17*(Supuestos!B6+Supuestos!B7)+D18</f>
        <v>9043.4215880720221</v>
      </c>
      <c r="D18" s="17">
        <f>IF(Supuestos!B13&gt;0,N18/Supuestos!B13,0)</f>
        <v>4297.5569170020808</v>
      </c>
      <c r="E18" s="17">
        <f t="shared" si="0"/>
        <v>4745.8646710699413</v>
      </c>
      <c r="F18" s="10">
        <f>Supuestos!B31</f>
        <v>55</v>
      </c>
      <c r="G18" s="10">
        <f t="shared" si="1"/>
        <v>114309172.52061817</v>
      </c>
      <c r="H18" s="10">
        <f>B18*Supuestos!B16*Supuestos!B8</f>
        <v>72742200.694938838</v>
      </c>
      <c r="I18" s="10">
        <f>B18*Supuestos!B17*Supuestos!B8</f>
        <v>31175228.869259503</v>
      </c>
      <c r="J18" s="10">
        <f>B18*Supuestos!B18*Supuestos!B8</f>
        <v>10391742.956419833</v>
      </c>
      <c r="K18" s="10">
        <f>B18*Supuestos!B21*Supuestos!B8</f>
        <v>8313394.3651358671</v>
      </c>
      <c r="L18" s="10">
        <f>Supuestos!B22+Supuestos!B23+Supuestos!B24+Supuestos!B25</f>
        <v>25000</v>
      </c>
      <c r="M18" s="10">
        <f>Supuestos!B26</f>
        <v>6000</v>
      </c>
      <c r="N18" s="10">
        <f>N17*(1+Supuestos!B12)</f>
        <v>77356.024506037458</v>
      </c>
      <c r="O18" s="10">
        <f t="shared" si="2"/>
        <v>8421750.3896419052</v>
      </c>
      <c r="P18" s="10">
        <f t="shared" si="3"/>
        <v>105887422.13097626</v>
      </c>
      <c r="Q18" s="10">
        <f>IF(B18*Supuestos!B8&gt;0,P18/(B18*Supuestos!B8),0)</f>
        <v>50.947864364543818</v>
      </c>
      <c r="R18" s="10">
        <f t="shared" si="4"/>
        <v>8.5538447757503118</v>
      </c>
      <c r="S18" s="11">
        <f t="shared" si="5"/>
        <v>0.92632480662806949</v>
      </c>
    </row>
    <row r="19" spans="1:19" x14ac:dyDescent="0.2">
      <c r="A19" s="9">
        <v>16</v>
      </c>
      <c r="B19" s="17">
        <f>MIN(Supuestos!B5,B18*(1+Supuestos!B6+Supuestos!B7)+D19)</f>
        <v>78434.454275754222</v>
      </c>
      <c r="C19" s="17">
        <f>B18*(Supuestos!B6+Supuestos!B7)+D19</f>
        <v>10067.724299307929</v>
      </c>
      <c r="D19" s="17">
        <f>IF(Supuestos!B13&gt;0,N19/Supuestos!B13,0)</f>
        <v>4598.3859011922268</v>
      </c>
      <c r="E19" s="17">
        <f t="shared" si="0"/>
        <v>5469.3383981157021</v>
      </c>
      <c r="F19" s="10">
        <f>Supuestos!B31</f>
        <v>55</v>
      </c>
      <c r="G19" s="10">
        <f t="shared" si="1"/>
        <v>131142407.54906105</v>
      </c>
      <c r="H19" s="10">
        <f>B19*Supuestos!B16*Supuestos!B8</f>
        <v>83454259.349402487</v>
      </c>
      <c r="I19" s="10">
        <f>B19*Supuestos!B17*Supuestos!B8</f>
        <v>35766111.149743922</v>
      </c>
      <c r="J19" s="10">
        <f>B19*Supuestos!B18*Supuestos!B8</f>
        <v>11922037.049914641</v>
      </c>
      <c r="K19" s="10">
        <f>B19*Supuestos!B21*Supuestos!B8</f>
        <v>9537629.6399317123</v>
      </c>
      <c r="L19" s="10">
        <f>Supuestos!B22+Supuestos!B23+Supuestos!B24+Supuestos!B25</f>
        <v>25000</v>
      </c>
      <c r="M19" s="10">
        <f>Supuestos!B26</f>
        <v>6000</v>
      </c>
      <c r="N19" s="10">
        <f>N18*(1+Supuestos!B12)</f>
        <v>82770.946221460079</v>
      </c>
      <c r="O19" s="10">
        <f t="shared" si="2"/>
        <v>9651400.586153172</v>
      </c>
      <c r="P19" s="10">
        <f t="shared" si="3"/>
        <v>121491006.96290788</v>
      </c>
      <c r="Q19" s="10">
        <f>IF(B19*Supuestos!B8&gt;0,P19/(B19*Supuestos!B8),0)</f>
        <v>50.952285441764225</v>
      </c>
      <c r="R19" s="10">
        <f t="shared" si="4"/>
        <v>8.2214156606523172</v>
      </c>
      <c r="S19" s="11">
        <f t="shared" si="5"/>
        <v>0.92640518985025855</v>
      </c>
    </row>
    <row r="20" spans="1:19" x14ac:dyDescent="0.2">
      <c r="A20" s="9">
        <v>17</v>
      </c>
      <c r="B20" s="17">
        <f>MIN(Supuestos!B5,B19*(1+Supuestos!B6+Supuestos!B7)+D20)</f>
        <v>89629.483532090249</v>
      </c>
      <c r="C20" s="17">
        <f>B19*(Supuestos!B6+Supuestos!B7)+D20</f>
        <v>11195.029256336022</v>
      </c>
      <c r="D20" s="17">
        <f>IF(Supuestos!B13&gt;0,N20/Supuestos!B13,0)</f>
        <v>4920.2729142756834</v>
      </c>
      <c r="E20" s="17">
        <f t="shared" si="0"/>
        <v>6274.7563420603383</v>
      </c>
      <c r="F20" s="10">
        <f>Supuestos!B31</f>
        <v>55</v>
      </c>
      <c r="G20" s="10">
        <f t="shared" si="1"/>
        <v>149860496.46565491</v>
      </c>
      <c r="H20" s="10">
        <f>B20*Supuestos!B16*Supuestos!B8</f>
        <v>95365770.47814402</v>
      </c>
      <c r="I20" s="10">
        <f>B20*Supuestos!B17*Supuestos!B8</f>
        <v>40871044.490633152</v>
      </c>
      <c r="J20" s="10">
        <f>B20*Supuestos!B18*Supuestos!B8</f>
        <v>13623681.496877717</v>
      </c>
      <c r="K20" s="10">
        <f>B20*Supuestos!B21*Supuestos!B8</f>
        <v>10898945.197502173</v>
      </c>
      <c r="L20" s="10">
        <f>Supuestos!B22+Supuestos!B23+Supuestos!B24+Supuestos!B25</f>
        <v>25000</v>
      </c>
      <c r="M20" s="10">
        <f>Supuestos!B26</f>
        <v>6000</v>
      </c>
      <c r="N20" s="10">
        <f>N19*(1+Supuestos!B12)</f>
        <v>88564.912456962295</v>
      </c>
      <c r="O20" s="10">
        <f t="shared" si="2"/>
        <v>11018510.109959137</v>
      </c>
      <c r="P20" s="10">
        <f t="shared" si="3"/>
        <v>138841986.35569578</v>
      </c>
      <c r="Q20" s="10">
        <f>IF(B20*Supuestos!B8&gt;0,P20/(B20*Supuestos!B8),0)</f>
        <v>50.956118721476159</v>
      </c>
      <c r="R20" s="10">
        <f t="shared" si="4"/>
        <v>7.9110925419723612</v>
      </c>
      <c r="S20" s="11">
        <f t="shared" si="5"/>
        <v>0.92647488584502091</v>
      </c>
    </row>
    <row r="21" spans="1:19" x14ac:dyDescent="0.2">
      <c r="A21" s="9">
        <v>18</v>
      </c>
      <c r="B21" s="17">
        <f>MIN(Supuestos!B5,B20*(1+Supuestos!B6+Supuestos!B7)+D21)</f>
        <v>100000</v>
      </c>
      <c r="C21" s="17">
        <f>B20*(Supuestos!B6+Supuestos!B7)+D21</f>
        <v>12435.050700842201</v>
      </c>
      <c r="D21" s="17">
        <f>IF(Supuestos!B13&gt;0,N21/Supuestos!B13,0)</f>
        <v>5264.6920182749809</v>
      </c>
      <c r="E21" s="17">
        <f t="shared" si="0"/>
        <v>7170.3586825672201</v>
      </c>
      <c r="F21" s="10">
        <f>Supuestos!B31</f>
        <v>55</v>
      </c>
      <c r="G21" s="10">
        <f t="shared" si="1"/>
        <v>167200000</v>
      </c>
      <c r="H21" s="10">
        <f>B21*Supuestos!B16*Supuestos!B8</f>
        <v>106400000</v>
      </c>
      <c r="I21" s="10">
        <f>B21*Supuestos!B17*Supuestos!B8</f>
        <v>45600000</v>
      </c>
      <c r="J21" s="10">
        <f>B21*Supuestos!B18*Supuestos!B8</f>
        <v>15200000</v>
      </c>
      <c r="K21" s="10">
        <f>B21*Supuestos!B21*Supuestos!B8</f>
        <v>12160000</v>
      </c>
      <c r="L21" s="10">
        <f>Supuestos!B22+Supuestos!B23+Supuestos!B24+Supuestos!B25</f>
        <v>25000</v>
      </c>
      <c r="M21" s="10">
        <f>Supuestos!B26</f>
        <v>6000</v>
      </c>
      <c r="N21" s="10">
        <f>N20*(1+Supuestos!B12)</f>
        <v>94764.456328949658</v>
      </c>
      <c r="O21" s="10">
        <f t="shared" si="2"/>
        <v>12285764.456328949</v>
      </c>
      <c r="P21" s="10">
        <f t="shared" si="3"/>
        <v>154914235.54367104</v>
      </c>
      <c r="Q21" s="10">
        <f>IF(B21*Supuestos!B8&gt;0,P21/(B21*Supuestos!B8),0)</f>
        <v>50.958630113049686</v>
      </c>
      <c r="R21" s="10">
        <f t="shared" si="4"/>
        <v>7.6207535143006258</v>
      </c>
      <c r="S21" s="11">
        <f t="shared" si="5"/>
        <v>0.92652054750999424</v>
      </c>
    </row>
    <row r="22" spans="1:19" x14ac:dyDescent="0.2">
      <c r="A22" s="9">
        <v>19</v>
      </c>
      <c r="B22" s="17">
        <f>MIN(Supuestos!B5,B21*(1+Supuestos!B6+Supuestos!B7)+D22)</f>
        <v>100000</v>
      </c>
      <c r="C22" s="17">
        <f>B21*(Supuestos!B6+Supuestos!B7)+D22</f>
        <v>13633.22045955423</v>
      </c>
      <c r="D22" s="17">
        <f>IF(Supuestos!B13&gt;0,N22/Supuestos!B13,0)</f>
        <v>5633.2204595542298</v>
      </c>
      <c r="E22" s="17">
        <f t="shared" si="0"/>
        <v>8000</v>
      </c>
      <c r="F22" s="10">
        <f>Supuestos!B31</f>
        <v>55</v>
      </c>
      <c r="G22" s="10">
        <f t="shared" si="1"/>
        <v>167200000</v>
      </c>
      <c r="H22" s="10">
        <f>B22*Supuestos!B16*Supuestos!B8</f>
        <v>106400000</v>
      </c>
      <c r="I22" s="10">
        <f>B22*Supuestos!B17*Supuestos!B8</f>
        <v>45600000</v>
      </c>
      <c r="J22" s="10">
        <f>B22*Supuestos!B18*Supuestos!B8</f>
        <v>15200000</v>
      </c>
      <c r="K22" s="10">
        <f>B22*Supuestos!B21*Supuestos!B8</f>
        <v>12160000</v>
      </c>
      <c r="L22" s="10">
        <f>Supuestos!B22+Supuestos!B23+Supuestos!B24+Supuestos!B25</f>
        <v>25000</v>
      </c>
      <c r="M22" s="10">
        <f>Supuestos!B26</f>
        <v>6000</v>
      </c>
      <c r="N22" s="10">
        <f>N21*(1+Supuestos!B12)</f>
        <v>101397.96827197613</v>
      </c>
      <c r="O22" s="10">
        <f t="shared" si="2"/>
        <v>12292397.968271976</v>
      </c>
      <c r="P22" s="10">
        <f t="shared" si="3"/>
        <v>154907602.03172803</v>
      </c>
      <c r="Q22" s="10">
        <f>IF(B22*Supuestos!B8&gt;0,P22/(B22*Supuestos!B8),0)</f>
        <v>50.95644803675264</v>
      </c>
      <c r="R22" s="10">
        <f t="shared" si="4"/>
        <v>7.4375653626957909</v>
      </c>
      <c r="S22" s="11">
        <f t="shared" si="5"/>
        <v>0.92648087339550256</v>
      </c>
    </row>
    <row r="23" spans="1:19" x14ac:dyDescent="0.2">
      <c r="A23" s="9">
        <v>20</v>
      </c>
      <c r="B23" s="17">
        <f>MIN(Supuestos!B5,B22*(1+Supuestos!B6+Supuestos!B7)+D23)</f>
        <v>100000</v>
      </c>
      <c r="C23" s="17">
        <f>B22*(Supuestos!B6+Supuestos!B7)+D23</f>
        <v>14027.545891723026</v>
      </c>
      <c r="D23" s="17">
        <f>IF(Supuestos!B13&gt;0,N23/Supuestos!B13,0)</f>
        <v>6027.5458917230262</v>
      </c>
      <c r="E23" s="17">
        <f t="shared" si="0"/>
        <v>8000</v>
      </c>
      <c r="F23" s="10">
        <f>Supuestos!B31</f>
        <v>55</v>
      </c>
      <c r="G23" s="10">
        <f t="shared" si="1"/>
        <v>167200000</v>
      </c>
      <c r="H23" s="10">
        <f>B23*Supuestos!B16*Supuestos!B8</f>
        <v>106400000</v>
      </c>
      <c r="I23" s="10">
        <f>B23*Supuestos!B17*Supuestos!B8</f>
        <v>45600000</v>
      </c>
      <c r="J23" s="10">
        <f>B23*Supuestos!B18*Supuestos!B8</f>
        <v>15200000</v>
      </c>
      <c r="K23" s="10">
        <f>B23*Supuestos!B21*Supuestos!B8</f>
        <v>12160000</v>
      </c>
      <c r="L23" s="10">
        <f>Supuestos!B22+Supuestos!B23+Supuestos!B24+Supuestos!B25</f>
        <v>25000</v>
      </c>
      <c r="M23" s="10">
        <f>Supuestos!B26</f>
        <v>6000</v>
      </c>
      <c r="N23" s="10">
        <f>N22*(1+Supuestos!B12)</f>
        <v>108495.82605101448</v>
      </c>
      <c r="O23" s="10">
        <f t="shared" si="2"/>
        <v>12299495.826051015</v>
      </c>
      <c r="P23" s="10">
        <f t="shared" si="3"/>
        <v>154900504.17394897</v>
      </c>
      <c r="Q23" s="10">
        <f>IF(B23*Supuestos!B8&gt;0,P23/(B23*Supuestos!B8),0)</f>
        <v>50.954113215114795</v>
      </c>
      <c r="R23" s="10">
        <f t="shared" si="4"/>
        <v>7.73448377132258</v>
      </c>
      <c r="S23" s="11">
        <f t="shared" si="5"/>
        <v>0.92643842209299621</v>
      </c>
    </row>
    <row r="24" spans="1:19" x14ac:dyDescent="0.2">
      <c r="A24" s="9">
        <v>21</v>
      </c>
      <c r="B24" s="17">
        <f>MIN(Supuestos!B5,B23*(1+Supuestos!B6+Supuestos!B7)+D24)</f>
        <v>100000</v>
      </c>
      <c r="C24" s="17">
        <f>B23*(Supuestos!B6+Supuestos!B7)+D24</f>
        <v>14449.474104143639</v>
      </c>
      <c r="D24" s="17">
        <f>IF(Supuestos!B13&gt;0,N24/Supuestos!B13,0)</f>
        <v>6449.4741041436391</v>
      </c>
      <c r="E24" s="17">
        <f t="shared" si="0"/>
        <v>8000</v>
      </c>
      <c r="F24" s="10">
        <f>Supuestos!B31</f>
        <v>55</v>
      </c>
      <c r="G24" s="10">
        <f t="shared" si="1"/>
        <v>167200000</v>
      </c>
      <c r="H24" s="10">
        <f>B24*Supuestos!B16*Supuestos!B8</f>
        <v>106400000</v>
      </c>
      <c r="I24" s="10">
        <f>B24*Supuestos!B17*Supuestos!B8</f>
        <v>45600000</v>
      </c>
      <c r="J24" s="10">
        <f>B24*Supuestos!B18*Supuestos!B8</f>
        <v>15200000</v>
      </c>
      <c r="K24" s="10">
        <f>B24*Supuestos!B21*Supuestos!B8</f>
        <v>12160000</v>
      </c>
      <c r="L24" s="10">
        <f>Supuestos!B22+Supuestos!B23+Supuestos!B24+Supuestos!B25</f>
        <v>25000</v>
      </c>
      <c r="M24" s="10">
        <f>Supuestos!B26</f>
        <v>6000</v>
      </c>
      <c r="N24" s="10">
        <f>N23*(1+Supuestos!B12)</f>
        <v>116090.5338745855</v>
      </c>
      <c r="O24" s="10">
        <f t="shared" si="2"/>
        <v>12307090.533874586</v>
      </c>
      <c r="P24" s="10">
        <f t="shared" si="3"/>
        <v>154892909.46612543</v>
      </c>
      <c r="Q24" s="10">
        <f>IF(B24*Supuestos!B8&gt;0,P24/(B24*Supuestos!B8),0)</f>
        <v>50.951614955962313</v>
      </c>
      <c r="R24" s="10">
        <f t="shared" si="4"/>
        <v>8.0342393804695291</v>
      </c>
      <c r="S24" s="11">
        <f t="shared" si="5"/>
        <v>0.92639299919931473</v>
      </c>
    </row>
    <row r="25" spans="1:19" x14ac:dyDescent="0.2">
      <c r="A25" s="9">
        <v>22</v>
      </c>
      <c r="B25" s="17">
        <f>MIN(Supuestos!B5,B24*(1+Supuestos!B6+Supuestos!B7)+D25)</f>
        <v>100000</v>
      </c>
      <c r="C25" s="17">
        <f>B24*(Supuestos!B6+Supuestos!B7)+D25</f>
        <v>14900.937291433693</v>
      </c>
      <c r="D25" s="17">
        <f>IF(Supuestos!B13&gt;0,N25/Supuestos!B13,0)</f>
        <v>6900.9372914336936</v>
      </c>
      <c r="E25" s="17">
        <f t="shared" si="0"/>
        <v>7999.9999999999991</v>
      </c>
      <c r="F25" s="10">
        <f>Supuestos!B31</f>
        <v>55</v>
      </c>
      <c r="G25" s="10">
        <f t="shared" si="1"/>
        <v>167200000</v>
      </c>
      <c r="H25" s="10">
        <f>B25*Supuestos!B16*Supuestos!B8</f>
        <v>106400000</v>
      </c>
      <c r="I25" s="10">
        <f>B25*Supuestos!B17*Supuestos!B8</f>
        <v>45600000</v>
      </c>
      <c r="J25" s="10">
        <f>B25*Supuestos!B18*Supuestos!B8</f>
        <v>15200000</v>
      </c>
      <c r="K25" s="10">
        <f>B25*Supuestos!B21*Supuestos!B8</f>
        <v>12160000</v>
      </c>
      <c r="L25" s="10">
        <f>Supuestos!B22+Supuestos!B23+Supuestos!B24+Supuestos!B25</f>
        <v>25000</v>
      </c>
      <c r="M25" s="10">
        <f>Supuestos!B26</f>
        <v>6000</v>
      </c>
      <c r="N25" s="10">
        <f>N24*(1+Supuestos!B12)</f>
        <v>124216.87124580648</v>
      </c>
      <c r="O25" s="10">
        <f t="shared" si="2"/>
        <v>12315216.871245807</v>
      </c>
      <c r="P25" s="10">
        <f t="shared" si="3"/>
        <v>154884783.1287542</v>
      </c>
      <c r="Q25" s="10">
        <f>IF(B25*Supuestos!B8&gt;0,P25/(B25*Supuestos!B8),0)</f>
        <v>50.948941818669141</v>
      </c>
      <c r="R25" s="10">
        <f t="shared" si="4"/>
        <v>8.3361783769948996</v>
      </c>
      <c r="S25" s="11">
        <f t="shared" si="5"/>
        <v>0.92634439670307533</v>
      </c>
    </row>
    <row r="26" spans="1:19" x14ac:dyDescent="0.2">
      <c r="A26" s="9">
        <v>23</v>
      </c>
      <c r="B26" s="17">
        <f>MIN(Supuestos!B5,B25*(1+Supuestos!B6+Supuestos!B7)+D26)</f>
        <v>100000</v>
      </c>
      <c r="C26" s="17">
        <f>B25*(Supuestos!B6+Supuestos!B7)+D26</f>
        <v>15384.002901834054</v>
      </c>
      <c r="D26" s="17">
        <f>IF(Supuestos!B13&gt;0,N26/Supuestos!B13,0)</f>
        <v>7384.0029018340529</v>
      </c>
      <c r="E26" s="17">
        <f t="shared" si="0"/>
        <v>8000.0000000000009</v>
      </c>
      <c r="F26" s="10">
        <f>Supuestos!B31</f>
        <v>55</v>
      </c>
      <c r="G26" s="10">
        <f t="shared" si="1"/>
        <v>167200000</v>
      </c>
      <c r="H26" s="10">
        <f>B26*Supuestos!B16*Supuestos!B8</f>
        <v>106400000</v>
      </c>
      <c r="I26" s="10">
        <f>B26*Supuestos!B17*Supuestos!B8</f>
        <v>45600000</v>
      </c>
      <c r="J26" s="10">
        <f>B26*Supuestos!B18*Supuestos!B8</f>
        <v>15200000</v>
      </c>
      <c r="K26" s="10">
        <f>B26*Supuestos!B21*Supuestos!B8</f>
        <v>12160000</v>
      </c>
      <c r="L26" s="10">
        <f>Supuestos!B22+Supuestos!B23+Supuestos!B24+Supuestos!B25</f>
        <v>25000</v>
      </c>
      <c r="M26" s="10">
        <f>Supuestos!B26</f>
        <v>6000</v>
      </c>
      <c r="N26" s="10">
        <f>N25*(1+Supuestos!B12)</f>
        <v>132912.05223301295</v>
      </c>
      <c r="O26" s="10">
        <f t="shared" si="2"/>
        <v>12323912.052233012</v>
      </c>
      <c r="P26" s="10">
        <f t="shared" si="3"/>
        <v>154876087.94776699</v>
      </c>
      <c r="Q26" s="10">
        <f>IF(B26*Supuestos!B8&gt;0,P26/(B26*Supuestos!B8),0)</f>
        <v>50.94608156176546</v>
      </c>
      <c r="R26" s="10">
        <f t="shared" si="4"/>
        <v>8.6396273506401506</v>
      </c>
      <c r="S26" s="11">
        <f t="shared" si="5"/>
        <v>0.92629239203209923</v>
      </c>
    </row>
    <row r="27" spans="1:19" x14ac:dyDescent="0.2">
      <c r="A27" s="9">
        <v>24</v>
      </c>
      <c r="B27" s="17">
        <f>MIN(Supuestos!B5,B26*(1+Supuestos!B6+Supuestos!B7)+D27)</f>
        <v>100000</v>
      </c>
      <c r="C27" s="17">
        <f>B26*(Supuestos!B6+Supuestos!B7)+D27</f>
        <v>15900.883104962439</v>
      </c>
      <c r="D27" s="17">
        <f>IF(Supuestos!B13&gt;0,N27/Supuestos!B13,0)</f>
        <v>7900.8831049624378</v>
      </c>
      <c r="E27" s="17">
        <f t="shared" si="0"/>
        <v>8000.0000000000009</v>
      </c>
      <c r="F27" s="10">
        <f>Supuestos!B31</f>
        <v>55</v>
      </c>
      <c r="G27" s="10">
        <f t="shared" si="1"/>
        <v>167200000</v>
      </c>
      <c r="H27" s="10">
        <f>B27*Supuestos!B16*Supuestos!B8</f>
        <v>106400000</v>
      </c>
      <c r="I27" s="10">
        <f>B27*Supuestos!B17*Supuestos!B8</f>
        <v>45600000</v>
      </c>
      <c r="J27" s="10">
        <f>B27*Supuestos!B18*Supuestos!B8</f>
        <v>15200000</v>
      </c>
      <c r="K27" s="10">
        <f>B27*Supuestos!B21*Supuestos!B8</f>
        <v>12160000</v>
      </c>
      <c r="L27" s="10">
        <f>Supuestos!B22+Supuestos!B23+Supuestos!B24+Supuestos!B25</f>
        <v>25000</v>
      </c>
      <c r="M27" s="10">
        <f>Supuestos!B26</f>
        <v>6000</v>
      </c>
      <c r="N27" s="10">
        <f>N26*(1+Supuestos!B12)</f>
        <v>142215.89588932387</v>
      </c>
      <c r="O27" s="10">
        <f t="shared" si="2"/>
        <v>12333215.895889323</v>
      </c>
      <c r="P27" s="10">
        <f t="shared" si="3"/>
        <v>154866784.10411069</v>
      </c>
      <c r="Q27" s="10">
        <f>IF(B27*Supuestos!B8&gt;0,P27/(B27*Supuestos!B8),0)</f>
        <v>50.943021086878517</v>
      </c>
      <c r="R27" s="10">
        <f t="shared" si="4"/>
        <v>8.9438992130531627</v>
      </c>
      <c r="S27" s="11">
        <f t="shared" si="5"/>
        <v>0.92623674703415482</v>
      </c>
    </row>
    <row r="28" spans="1:19" x14ac:dyDescent="0.2">
      <c r="A28" s="9">
        <v>25</v>
      </c>
      <c r="B28" s="17">
        <f>MIN(Supuestos!B5,B27*(1+Supuestos!B6+Supuestos!B7)+D28)</f>
        <v>100000</v>
      </c>
      <c r="C28" s="17">
        <f>B27*(Supuestos!B6+Supuestos!B7)+D28</f>
        <v>16453.944922309809</v>
      </c>
      <c r="D28" s="17">
        <f>IF(Supuestos!B13&gt;0,N28/Supuestos!B13,0)</f>
        <v>8453.944922309809</v>
      </c>
      <c r="E28" s="17">
        <f t="shared" si="0"/>
        <v>8000</v>
      </c>
      <c r="F28" s="10">
        <f>Supuestos!B31</f>
        <v>55</v>
      </c>
      <c r="G28" s="10">
        <f t="shared" si="1"/>
        <v>167200000</v>
      </c>
      <c r="H28" s="10">
        <f>B28*Supuestos!B16*Supuestos!B8</f>
        <v>106400000</v>
      </c>
      <c r="I28" s="10">
        <f>B28*Supuestos!B17*Supuestos!B8</f>
        <v>45600000</v>
      </c>
      <c r="J28" s="10">
        <f>B28*Supuestos!B18*Supuestos!B8</f>
        <v>15200000</v>
      </c>
      <c r="K28" s="10">
        <f>B28*Supuestos!B21*Supuestos!B8</f>
        <v>12160000</v>
      </c>
      <c r="L28" s="10">
        <f>Supuestos!B22+Supuestos!B23+Supuestos!B24+Supuestos!B25</f>
        <v>25000</v>
      </c>
      <c r="M28" s="10">
        <f>Supuestos!B26</f>
        <v>6000</v>
      </c>
      <c r="N28" s="10">
        <f>N27*(1+Supuestos!B12)</f>
        <v>152171.00860157656</v>
      </c>
      <c r="O28" s="10">
        <f t="shared" si="2"/>
        <v>12343171.008601576</v>
      </c>
      <c r="P28" s="10">
        <f t="shared" si="3"/>
        <v>154856828.99139842</v>
      </c>
      <c r="Q28" s="10">
        <f>IF(B28*Supuestos!B8&gt;0,P28/(B28*Supuestos!B8),0)</f>
        <v>50.939746378749483</v>
      </c>
      <c r="R28" s="10">
        <f t="shared" si="4"/>
        <v>9.248299378664429</v>
      </c>
      <c r="S28" s="11">
        <f t="shared" si="5"/>
        <v>0.92617720688635419</v>
      </c>
    </row>
    <row r="29" spans="1:19" x14ac:dyDescent="0.2">
      <c r="A29" s="9">
        <v>26</v>
      </c>
      <c r="B29" s="17">
        <f>MIN(Supuestos!B5,B28*(1+Supuestos!B6+Supuestos!B7)+D29)</f>
        <v>100000</v>
      </c>
      <c r="C29" s="17">
        <f>B28*(Supuestos!B6+Supuestos!B7)+D29</f>
        <v>17045.721066871498</v>
      </c>
      <c r="D29" s="17">
        <f>IF(Supuestos!B13&gt;0,N29/Supuestos!B13,0)</f>
        <v>9045.7210668714961</v>
      </c>
      <c r="E29" s="17">
        <f t="shared" si="0"/>
        <v>8000.0000000000018</v>
      </c>
      <c r="F29" s="10">
        <f>Supuestos!B31</f>
        <v>55</v>
      </c>
      <c r="G29" s="10">
        <f t="shared" si="1"/>
        <v>167200000</v>
      </c>
      <c r="H29" s="10">
        <f>B29*Supuestos!B16*Supuestos!B8</f>
        <v>106400000</v>
      </c>
      <c r="I29" s="10">
        <f>B29*Supuestos!B17*Supuestos!B8</f>
        <v>45600000</v>
      </c>
      <c r="J29" s="10">
        <f>B29*Supuestos!B18*Supuestos!B8</f>
        <v>15200000</v>
      </c>
      <c r="K29" s="10">
        <f>B29*Supuestos!B21*Supuestos!B8</f>
        <v>12160000</v>
      </c>
      <c r="L29" s="10">
        <f>Supuestos!B22+Supuestos!B23+Supuestos!B24+Supuestos!B25</f>
        <v>25000</v>
      </c>
      <c r="M29" s="10">
        <f>Supuestos!B26</f>
        <v>6000</v>
      </c>
      <c r="N29" s="10">
        <f>N28*(1+Supuestos!B12)</f>
        <v>162822.97920368693</v>
      </c>
      <c r="O29" s="10">
        <f t="shared" si="2"/>
        <v>12353822.979203686</v>
      </c>
      <c r="P29" s="10">
        <f t="shared" si="3"/>
        <v>154846177.0207963</v>
      </c>
      <c r="Q29" s="10">
        <f>IF(B29*Supuestos!B8&gt;0,P29/(B29*Supuestos!B8),0)</f>
        <v>50.936242441051412</v>
      </c>
      <c r="R29" s="10">
        <f t="shared" si="4"/>
        <v>9.552132090213231</v>
      </c>
      <c r="S29" s="11">
        <f t="shared" si="5"/>
        <v>0.92611349892820749</v>
      </c>
    </row>
    <row r="30" spans="1:19" x14ac:dyDescent="0.2">
      <c r="A30" s="9">
        <v>27</v>
      </c>
      <c r="B30" s="17">
        <f>MIN(Supuestos!B5,B29*(1+Supuestos!B6+Supuestos!B7)+D30)</f>
        <v>100000</v>
      </c>
      <c r="C30" s="17">
        <f>B29*(Supuestos!B6+Supuestos!B7)+D30</f>
        <v>17678.921541552503</v>
      </c>
      <c r="D30" s="17">
        <f>IF(Supuestos!B13&gt;0,N30/Supuestos!B13,0)</f>
        <v>9678.9215415525032</v>
      </c>
      <c r="E30" s="17">
        <f t="shared" si="0"/>
        <v>8000</v>
      </c>
      <c r="F30" s="10">
        <f>Supuestos!B31</f>
        <v>55</v>
      </c>
      <c r="G30" s="10">
        <f t="shared" si="1"/>
        <v>167200000</v>
      </c>
      <c r="H30" s="10">
        <f>B30*Supuestos!B16*Supuestos!B8</f>
        <v>106400000</v>
      </c>
      <c r="I30" s="10">
        <f>B30*Supuestos!B17*Supuestos!B8</f>
        <v>45600000</v>
      </c>
      <c r="J30" s="10">
        <f>B30*Supuestos!B18*Supuestos!B8</f>
        <v>15200000</v>
      </c>
      <c r="K30" s="10">
        <f>B30*Supuestos!B21*Supuestos!B8</f>
        <v>12160000</v>
      </c>
      <c r="L30" s="10">
        <f>Supuestos!B22+Supuestos!B23+Supuestos!B24+Supuestos!B25</f>
        <v>25000</v>
      </c>
      <c r="M30" s="10">
        <f>Supuestos!B26</f>
        <v>6000</v>
      </c>
      <c r="N30" s="10">
        <f>N29*(1+Supuestos!B12)</f>
        <v>174220.58774794504</v>
      </c>
      <c r="O30" s="10">
        <f t="shared" si="2"/>
        <v>12365220.587747945</v>
      </c>
      <c r="P30" s="10">
        <f t="shared" si="3"/>
        <v>154834779.41225207</v>
      </c>
      <c r="Q30" s="10">
        <f>IF(B30*Supuestos!B8&gt;0,P30/(B30*Supuestos!B8),0)</f>
        <v>50.932493227714495</v>
      </c>
      <c r="R30" s="10">
        <f t="shared" si="4"/>
        <v>9.8547067669516668</v>
      </c>
      <c r="S30" s="11">
        <f t="shared" si="5"/>
        <v>0.92604533141299084</v>
      </c>
    </row>
    <row r="31" spans="1:19" x14ac:dyDescent="0.2">
      <c r="A31" s="9">
        <v>28</v>
      </c>
      <c r="B31" s="17">
        <f>MIN(Supuestos!B5,B30*(1+Supuestos!B6+Supuestos!B7)+D31)</f>
        <v>100000</v>
      </c>
      <c r="C31" s="17">
        <f>B30*(Supuestos!B6+Supuestos!B7)+D31</f>
        <v>18356.446049461178</v>
      </c>
      <c r="D31" s="17">
        <f>IF(Supuestos!B13&gt;0,N31/Supuestos!B13,0)</f>
        <v>10356.446049461178</v>
      </c>
      <c r="E31" s="17">
        <f t="shared" si="0"/>
        <v>8000</v>
      </c>
      <c r="F31" s="10">
        <f>Supuestos!B31</f>
        <v>55</v>
      </c>
      <c r="G31" s="10">
        <f t="shared" si="1"/>
        <v>167200000</v>
      </c>
      <c r="H31" s="10">
        <f>B31*Supuestos!B16*Supuestos!B8</f>
        <v>106400000</v>
      </c>
      <c r="I31" s="10">
        <f>B31*Supuestos!B17*Supuestos!B8</f>
        <v>45600000</v>
      </c>
      <c r="J31" s="10">
        <f>B31*Supuestos!B18*Supuestos!B8</f>
        <v>15200000</v>
      </c>
      <c r="K31" s="10">
        <f>B31*Supuestos!B21*Supuestos!B8</f>
        <v>12160000</v>
      </c>
      <c r="L31" s="10">
        <f>Supuestos!B22+Supuestos!B23+Supuestos!B24+Supuestos!B25</f>
        <v>25000</v>
      </c>
      <c r="M31" s="10">
        <f>Supuestos!B26</f>
        <v>6000</v>
      </c>
      <c r="N31" s="10">
        <f>N30*(1+Supuestos!B12)</f>
        <v>186416.02889030121</v>
      </c>
      <c r="O31" s="10">
        <f t="shared" si="2"/>
        <v>12377416.028890301</v>
      </c>
      <c r="P31" s="10">
        <f t="shared" si="3"/>
        <v>154822583.97110969</v>
      </c>
      <c r="Q31" s="10">
        <f>IF(B31*Supuestos!B8&gt;0,P31/(B31*Supuestos!B8),0)</f>
        <v>50.928481569443974</v>
      </c>
      <c r="R31" s="10">
        <f t="shared" si="4"/>
        <v>10.155344252803943</v>
      </c>
      <c r="S31" s="11">
        <f t="shared" si="5"/>
        <v>0.92597239217170868</v>
      </c>
    </row>
    <row r="32" spans="1:19" x14ac:dyDescent="0.2">
      <c r="A32" s="9">
        <v>29</v>
      </c>
      <c r="B32" s="17">
        <f>MIN(Supuestos!B5,B31*(1+Supuestos!B6+Supuestos!B7)+D32)</f>
        <v>100000</v>
      </c>
      <c r="C32" s="17">
        <f>B31*(Supuestos!B6+Supuestos!B7)+D32</f>
        <v>19081.397272923459</v>
      </c>
      <c r="D32" s="17">
        <f>IF(Supuestos!B13&gt;0,N32/Supuestos!B13,0)</f>
        <v>11081.397272923461</v>
      </c>
      <c r="E32" s="17">
        <f t="shared" si="0"/>
        <v>7999.9999999999982</v>
      </c>
      <c r="F32" s="10">
        <f>Supuestos!B31</f>
        <v>55</v>
      </c>
      <c r="G32" s="10">
        <f t="shared" si="1"/>
        <v>167200000</v>
      </c>
      <c r="H32" s="10">
        <f>B32*Supuestos!B16*Supuestos!B8</f>
        <v>106400000</v>
      </c>
      <c r="I32" s="10">
        <f>B32*Supuestos!B17*Supuestos!B8</f>
        <v>45600000</v>
      </c>
      <c r="J32" s="10">
        <f>B32*Supuestos!B18*Supuestos!B8</f>
        <v>15200000</v>
      </c>
      <c r="K32" s="10">
        <f>B32*Supuestos!B21*Supuestos!B8</f>
        <v>12160000</v>
      </c>
      <c r="L32" s="10">
        <f>Supuestos!B22+Supuestos!B23+Supuestos!B24+Supuestos!B25</f>
        <v>25000</v>
      </c>
      <c r="M32" s="10">
        <f>Supuestos!B26</f>
        <v>6000</v>
      </c>
      <c r="N32" s="10">
        <f>N31*(1+Supuestos!B12)</f>
        <v>199465.15091262231</v>
      </c>
      <c r="O32" s="10">
        <f t="shared" si="2"/>
        <v>12390465.150912622</v>
      </c>
      <c r="P32" s="10">
        <f t="shared" si="3"/>
        <v>154809534.84908739</v>
      </c>
      <c r="Q32" s="10">
        <f>IF(B32*Supuestos!B8&gt;0,P32/(B32*Supuestos!B8),0)</f>
        <v>50.924189095094533</v>
      </c>
      <c r="R32" s="10">
        <f t="shared" si="4"/>
        <v>10.453382845063645</v>
      </c>
      <c r="S32" s="11">
        <f t="shared" si="5"/>
        <v>0.92589434718353703</v>
      </c>
    </row>
    <row r="33" spans="1:19" x14ac:dyDescent="0.2">
      <c r="A33" s="9">
        <v>30</v>
      </c>
      <c r="B33" s="17">
        <f>MIN(Supuestos!B5,B32*(1+Supuestos!B6+Supuestos!B7)+D33)</f>
        <v>100000</v>
      </c>
      <c r="C33" s="17">
        <f>B32*(Supuestos!B6+Supuestos!B7)+D33</f>
        <v>19857.095082028107</v>
      </c>
      <c r="D33" s="17">
        <f>IF(Supuestos!B13&gt;0,N33/Supuestos!B13,0)</f>
        <v>11857.095082028105</v>
      </c>
      <c r="E33" s="17">
        <f t="shared" si="0"/>
        <v>8000.0000000000018</v>
      </c>
      <c r="F33" s="10">
        <f>Supuestos!B31</f>
        <v>55</v>
      </c>
      <c r="G33" s="10">
        <f t="shared" si="1"/>
        <v>167200000</v>
      </c>
      <c r="H33" s="10">
        <f>B33*Supuestos!B16*Supuestos!B8</f>
        <v>106400000</v>
      </c>
      <c r="I33" s="10">
        <f>B33*Supuestos!B17*Supuestos!B8</f>
        <v>45600000</v>
      </c>
      <c r="J33" s="10">
        <f>B33*Supuestos!B18*Supuestos!B8</f>
        <v>15200000</v>
      </c>
      <c r="K33" s="10">
        <f>B33*Supuestos!B21*Supuestos!B8</f>
        <v>12160000</v>
      </c>
      <c r="L33" s="10">
        <f>Supuestos!B22+Supuestos!B23+Supuestos!B24+Supuestos!B25</f>
        <v>25000</v>
      </c>
      <c r="M33" s="10">
        <f>Supuestos!B26</f>
        <v>6000</v>
      </c>
      <c r="N33" s="10">
        <f>N32*(1+Supuestos!B12)</f>
        <v>213427.71147650588</v>
      </c>
      <c r="O33" s="10">
        <f t="shared" si="2"/>
        <v>12404427.711476507</v>
      </c>
      <c r="P33" s="10">
        <f t="shared" si="3"/>
        <v>154795572.2885235</v>
      </c>
      <c r="Q33" s="10">
        <f>IF(B33*Supuestos!B8&gt;0,P33/(B33*Supuestos!B8),0)</f>
        <v>50.919596147540624</v>
      </c>
      <c r="R33" s="10">
        <f t="shared" si="4"/>
        <v>10.748183991407238</v>
      </c>
      <c r="S33" s="11">
        <f t="shared" si="5"/>
        <v>0.9258108390461931</v>
      </c>
    </row>
    <row r="34" spans="1:19" x14ac:dyDescent="0.2">
      <c r="A34" s="9">
        <v>31</v>
      </c>
      <c r="B34" s="17">
        <f>MIN(Supuestos!B5,B33*(1+Supuestos!B6+Supuestos!B7)+D34)</f>
        <v>100000</v>
      </c>
      <c r="C34" s="17">
        <f>B33*(Supuestos!B6+Supuestos!B7)+D34</f>
        <v>20687.091737770075</v>
      </c>
      <c r="D34" s="17">
        <f>IF(Supuestos!B13&gt;0,N34/Supuestos!B13,0)</f>
        <v>12687.091737770073</v>
      </c>
      <c r="E34" s="17">
        <f t="shared" si="0"/>
        <v>8000.0000000000018</v>
      </c>
      <c r="F34" s="10">
        <f>Supuestos!B31</f>
        <v>55</v>
      </c>
      <c r="G34" s="10">
        <f t="shared" si="1"/>
        <v>167200000</v>
      </c>
      <c r="H34" s="10">
        <f>B34*Supuestos!B16*Supuestos!B8</f>
        <v>106400000</v>
      </c>
      <c r="I34" s="10">
        <f>B34*Supuestos!B17*Supuestos!B8</f>
        <v>45600000</v>
      </c>
      <c r="J34" s="10">
        <f>B34*Supuestos!B18*Supuestos!B8</f>
        <v>15200000</v>
      </c>
      <c r="K34" s="10">
        <f>B34*Supuestos!B21*Supuestos!B8</f>
        <v>12160000</v>
      </c>
      <c r="L34" s="10">
        <f>Supuestos!B22+Supuestos!B23+Supuestos!B24+Supuestos!B25</f>
        <v>25000</v>
      </c>
      <c r="M34" s="10">
        <f>Supuestos!B26</f>
        <v>6000</v>
      </c>
      <c r="N34" s="10">
        <f>N33*(1+Supuestos!B12)</f>
        <v>228367.65127986131</v>
      </c>
      <c r="O34" s="10">
        <f t="shared" si="2"/>
        <v>12419367.651279861</v>
      </c>
      <c r="P34" s="10">
        <f t="shared" si="3"/>
        <v>154780632.34872013</v>
      </c>
      <c r="Q34" s="10">
        <f>IF(B34*Supuestos!B8&gt;0,P34/(B34*Supuestos!B8),0)</f>
        <v>50.91468169365794</v>
      </c>
      <c r="R34" s="10">
        <f t="shared" si="4"/>
        <v>11.039137553729326</v>
      </c>
      <c r="S34" s="11">
        <f t="shared" si="5"/>
        <v>0.92572148533923526</v>
      </c>
    </row>
    <row r="35" spans="1:19" x14ac:dyDescent="0.2">
      <c r="A35" s="9">
        <v>32</v>
      </c>
      <c r="B35" s="17">
        <f>MIN(Supuestos!B5,B34*(1+Supuestos!B6+Supuestos!B7)+D35)</f>
        <v>100000</v>
      </c>
      <c r="C35" s="17">
        <f>B34*(Supuestos!B6+Supuestos!B7)+D35</f>
        <v>21575.188159413978</v>
      </c>
      <c r="D35" s="17">
        <f>IF(Supuestos!B13&gt;0,N35/Supuestos!B13,0)</f>
        <v>13575.188159413978</v>
      </c>
      <c r="E35" s="17">
        <f t="shared" si="0"/>
        <v>8000</v>
      </c>
      <c r="F35" s="10">
        <f>Supuestos!B31</f>
        <v>55</v>
      </c>
      <c r="G35" s="10">
        <f t="shared" si="1"/>
        <v>167200000</v>
      </c>
      <c r="H35" s="10">
        <f>B35*Supuestos!B16*Supuestos!B8</f>
        <v>106400000</v>
      </c>
      <c r="I35" s="10">
        <f>B35*Supuestos!B17*Supuestos!B8</f>
        <v>45600000</v>
      </c>
      <c r="J35" s="10">
        <f>B35*Supuestos!B18*Supuestos!B8</f>
        <v>15200000</v>
      </c>
      <c r="K35" s="10">
        <f>B35*Supuestos!B21*Supuestos!B8</f>
        <v>12160000</v>
      </c>
      <c r="L35" s="10">
        <f>Supuestos!B22+Supuestos!B23+Supuestos!B24+Supuestos!B25</f>
        <v>25000</v>
      </c>
      <c r="M35" s="10">
        <f>Supuestos!B26</f>
        <v>6000</v>
      </c>
      <c r="N35" s="10">
        <f>N34*(1+Supuestos!B12)</f>
        <v>244353.38686945161</v>
      </c>
      <c r="O35" s="10">
        <f t="shared" si="2"/>
        <v>12435353.386869451</v>
      </c>
      <c r="P35" s="10">
        <f t="shared" si="3"/>
        <v>154764646.61313054</v>
      </c>
      <c r="Q35" s="10">
        <f>IF(B35*Supuestos!B8&gt;0,P35/(B35*Supuestos!B8),0)</f>
        <v>50.909423228003469</v>
      </c>
      <c r="R35" s="10">
        <f t="shared" si="4"/>
        <v>11.325666551039188</v>
      </c>
      <c r="S35" s="11">
        <f t="shared" si="5"/>
        <v>0.9256258768727903</v>
      </c>
    </row>
    <row r="36" spans="1:19" x14ac:dyDescent="0.2">
      <c r="A36" s="9">
        <v>33</v>
      </c>
      <c r="B36" s="17">
        <f>MIN(Supuestos!B5,B35*(1+Supuestos!B6+Supuestos!B7)+D36)</f>
        <v>100000</v>
      </c>
      <c r="C36" s="17">
        <f>B35*(Supuestos!B6+Supuestos!B7)+D36</f>
        <v>22525.451330572956</v>
      </c>
      <c r="D36" s="17">
        <f>IF(Supuestos!B13&gt;0,N36/Supuestos!B13,0)</f>
        <v>14525.451330572958</v>
      </c>
      <c r="E36" s="17">
        <f t="shared" ref="E36:E67" si="6">MAX(C36-D36,0)</f>
        <v>7999.9999999999982</v>
      </c>
      <c r="F36" s="10">
        <f>Supuestos!B31</f>
        <v>55</v>
      </c>
      <c r="G36" s="10">
        <f t="shared" ref="G36:G67" si="7">H36+I36+J36</f>
        <v>167200000</v>
      </c>
      <c r="H36" s="10">
        <f>B36*Supuestos!B16*Supuestos!B8</f>
        <v>106400000</v>
      </c>
      <c r="I36" s="10">
        <f>B36*Supuestos!B17*Supuestos!B8</f>
        <v>45600000</v>
      </c>
      <c r="J36" s="10">
        <f>B36*Supuestos!B18*Supuestos!B8</f>
        <v>15200000</v>
      </c>
      <c r="K36" s="10">
        <f>B36*Supuestos!B21*Supuestos!B8</f>
        <v>12160000</v>
      </c>
      <c r="L36" s="10">
        <f>Supuestos!B22+Supuestos!B23+Supuestos!B24+Supuestos!B25</f>
        <v>25000</v>
      </c>
      <c r="M36" s="10">
        <f>Supuestos!B26</f>
        <v>6000</v>
      </c>
      <c r="N36" s="10">
        <f>N35*(1+Supuestos!B12)</f>
        <v>261458.12395031325</v>
      </c>
      <c r="O36" s="10">
        <f t="shared" ref="O36:O67" si="8">K36+L36+M36+N36</f>
        <v>12452458.123950314</v>
      </c>
      <c r="P36" s="10">
        <f t="shared" ref="P36:P67" si="9">G36-O36</f>
        <v>154747541.8760497</v>
      </c>
      <c r="Q36" s="10">
        <f>IF(B36*Supuestos!B8&gt;0,P36/(B36*Supuestos!B8),0)</f>
        <v>50.903796669753191</v>
      </c>
      <c r="R36" s="10">
        <f t="shared" ref="R36:R63" si="10">IF(C36&gt;0,N36/C36,0)</f>
        <v>11.607231309742765</v>
      </c>
      <c r="S36" s="11">
        <f t="shared" ref="S36:S63" si="11">IF(G36&gt;0,P36/G36,0)</f>
        <v>0.92552357581369438</v>
      </c>
    </row>
    <row r="37" spans="1:19" x14ac:dyDescent="0.2">
      <c r="A37" s="9">
        <v>34</v>
      </c>
      <c r="B37" s="17">
        <f>MIN(Supuestos!B5,B36*(1+Supuestos!B6+Supuestos!B7)+D37)</f>
        <v>100000</v>
      </c>
      <c r="C37" s="17">
        <f>B36*(Supuestos!B6+Supuestos!B7)+D37</f>
        <v>23542.232923713069</v>
      </c>
      <c r="D37" s="17">
        <f>IF(Supuestos!B13&gt;0,N37/Supuestos!B13,0)</f>
        <v>15542.232923713067</v>
      </c>
      <c r="E37" s="17">
        <f t="shared" si="6"/>
        <v>8000.0000000000018</v>
      </c>
      <c r="F37" s="10">
        <f>Supuestos!B31</f>
        <v>55</v>
      </c>
      <c r="G37" s="10">
        <f t="shared" si="7"/>
        <v>167200000</v>
      </c>
      <c r="H37" s="10">
        <f>B37*Supuestos!B16*Supuestos!B8</f>
        <v>106400000</v>
      </c>
      <c r="I37" s="10">
        <f>B37*Supuestos!B17*Supuestos!B8</f>
        <v>45600000</v>
      </c>
      <c r="J37" s="10">
        <f>B37*Supuestos!B18*Supuestos!B8</f>
        <v>15200000</v>
      </c>
      <c r="K37" s="10">
        <f>B37*Supuestos!B21*Supuestos!B8</f>
        <v>12160000</v>
      </c>
      <c r="L37" s="10">
        <f>Supuestos!B22+Supuestos!B23+Supuestos!B24+Supuestos!B25</f>
        <v>25000</v>
      </c>
      <c r="M37" s="10">
        <f>Supuestos!B26</f>
        <v>6000</v>
      </c>
      <c r="N37" s="10">
        <f>N36*(1+Supuestos!B12)</f>
        <v>279760.1926268352</v>
      </c>
      <c r="O37" s="10">
        <f t="shared" si="8"/>
        <v>12470760.192626836</v>
      </c>
      <c r="P37" s="10">
        <f t="shared" si="9"/>
        <v>154729239.80737317</v>
      </c>
      <c r="Q37" s="10">
        <f>IF(B37*Supuestos!B8&gt;0,P37/(B37*Supuestos!B8),0)</f>
        <v>50.897776252425381</v>
      </c>
      <c r="R37" s="10">
        <f t="shared" si="10"/>
        <v>11.883332967326345</v>
      </c>
      <c r="S37" s="11">
        <f t="shared" si="11"/>
        <v>0.92541411368046156</v>
      </c>
    </row>
    <row r="38" spans="1:19" x14ac:dyDescent="0.2">
      <c r="A38" s="9">
        <v>35</v>
      </c>
      <c r="B38" s="17">
        <f>MIN(Supuestos!B5,B37*(1+Supuestos!B6+Supuestos!B7)+D38)</f>
        <v>100000</v>
      </c>
      <c r="C38" s="17">
        <f>B37*(Supuestos!B6+Supuestos!B7)+D38</f>
        <v>24630.189228372983</v>
      </c>
      <c r="D38" s="17">
        <f>IF(Supuestos!B13&gt;0,N38/Supuestos!B13,0)</f>
        <v>16630.189228372983</v>
      </c>
      <c r="E38" s="17">
        <f t="shared" si="6"/>
        <v>8000</v>
      </c>
      <c r="F38" s="10">
        <f>Supuestos!B31</f>
        <v>55</v>
      </c>
      <c r="G38" s="10">
        <f t="shared" si="7"/>
        <v>167200000</v>
      </c>
      <c r="H38" s="10">
        <f>B38*Supuestos!B16*Supuestos!B8</f>
        <v>106400000</v>
      </c>
      <c r="I38" s="10">
        <f>B38*Supuestos!B17*Supuestos!B8</f>
        <v>45600000</v>
      </c>
      <c r="J38" s="10">
        <f>B38*Supuestos!B18*Supuestos!B8</f>
        <v>15200000</v>
      </c>
      <c r="K38" s="10">
        <f>B38*Supuestos!B21*Supuestos!B8</f>
        <v>12160000</v>
      </c>
      <c r="L38" s="10">
        <f>Supuestos!B22+Supuestos!B23+Supuestos!B24+Supuestos!B25</f>
        <v>25000</v>
      </c>
      <c r="M38" s="10">
        <f>Supuestos!B26</f>
        <v>6000</v>
      </c>
      <c r="N38" s="10">
        <f>N37*(1+Supuestos!B12)</f>
        <v>299343.40611071367</v>
      </c>
      <c r="O38" s="10">
        <f t="shared" si="8"/>
        <v>12490343.406110713</v>
      </c>
      <c r="P38" s="10">
        <f t="shared" si="9"/>
        <v>154709656.5938893</v>
      </c>
      <c r="Q38" s="10">
        <f>IF(B38*Supuestos!B8&gt;0,P38/(B38*Supuestos!B8),0)</f>
        <v>50.891334405884635</v>
      </c>
      <c r="R38" s="10">
        <f t="shared" si="10"/>
        <v>12.1535162939748</v>
      </c>
      <c r="S38" s="11">
        <f t="shared" si="11"/>
        <v>0.92529698919790249</v>
      </c>
    </row>
    <row r="39" spans="1:19" x14ac:dyDescent="0.2">
      <c r="A39" s="9">
        <v>36</v>
      </c>
      <c r="B39" s="17">
        <f>MIN(Supuestos!B5,B38*(1+Supuestos!B6+Supuestos!B7)+D39)</f>
        <v>100000</v>
      </c>
      <c r="C39" s="17">
        <f>B38*(Supuestos!B6+Supuestos!B7)+D39</f>
        <v>25794.302474359094</v>
      </c>
      <c r="D39" s="17">
        <f>IF(Supuestos!B13&gt;0,N39/Supuestos!B13,0)</f>
        <v>17794.302474359094</v>
      </c>
      <c r="E39" s="17">
        <f t="shared" si="6"/>
        <v>8000</v>
      </c>
      <c r="F39" s="10">
        <f>Supuestos!B31</f>
        <v>55</v>
      </c>
      <c r="G39" s="10">
        <f t="shared" si="7"/>
        <v>167200000</v>
      </c>
      <c r="H39" s="10">
        <f>B39*Supuestos!B16*Supuestos!B8</f>
        <v>106400000</v>
      </c>
      <c r="I39" s="10">
        <f>B39*Supuestos!B17*Supuestos!B8</f>
        <v>45600000</v>
      </c>
      <c r="J39" s="10">
        <f>B39*Supuestos!B18*Supuestos!B8</f>
        <v>15200000</v>
      </c>
      <c r="K39" s="10">
        <f>B39*Supuestos!B21*Supuestos!B8</f>
        <v>12160000</v>
      </c>
      <c r="L39" s="10">
        <f>Supuestos!B22+Supuestos!B23+Supuestos!B24+Supuestos!B25</f>
        <v>25000</v>
      </c>
      <c r="M39" s="10">
        <f>Supuestos!B26</f>
        <v>6000</v>
      </c>
      <c r="N39" s="10">
        <f>N38*(1+Supuestos!B12)</f>
        <v>320297.44453846366</v>
      </c>
      <c r="O39" s="10">
        <f t="shared" si="8"/>
        <v>12511297.444538463</v>
      </c>
      <c r="P39" s="10">
        <f t="shared" si="9"/>
        <v>154688702.55546153</v>
      </c>
      <c r="Q39" s="10">
        <f>IF(B39*Supuestos!B8&gt;0,P39/(B39*Supuestos!B8),0)</f>
        <v>50.88444163008603</v>
      </c>
      <c r="R39" s="10">
        <f t="shared" si="10"/>
        <v>12.417371815223781</v>
      </c>
      <c r="S39" s="11">
        <f t="shared" si="11"/>
        <v>0.9251716660015642</v>
      </c>
    </row>
    <row r="40" spans="1:19" x14ac:dyDescent="0.2">
      <c r="A40" s="9">
        <v>37</v>
      </c>
      <c r="B40" s="17">
        <f>MIN(Supuestos!B5,B39*(1+Supuestos!B6+Supuestos!B7)+D40)</f>
        <v>100000</v>
      </c>
      <c r="C40" s="17">
        <f>B39*(Supuestos!B6+Supuestos!B7)+D40</f>
        <v>27039.903647564228</v>
      </c>
      <c r="D40" s="17">
        <f>IF(Supuestos!B13&gt;0,N40/Supuestos!B13,0)</f>
        <v>19039.903647564228</v>
      </c>
      <c r="E40" s="17">
        <f t="shared" si="6"/>
        <v>8000</v>
      </c>
      <c r="F40" s="10">
        <f>Supuestos!B31</f>
        <v>55</v>
      </c>
      <c r="G40" s="10">
        <f t="shared" si="7"/>
        <v>167200000</v>
      </c>
      <c r="H40" s="10">
        <f>B40*Supuestos!B16*Supuestos!B8</f>
        <v>106400000</v>
      </c>
      <c r="I40" s="10">
        <f>B40*Supuestos!B17*Supuestos!B8</f>
        <v>45600000</v>
      </c>
      <c r="J40" s="10">
        <f>B40*Supuestos!B18*Supuestos!B8</f>
        <v>15200000</v>
      </c>
      <c r="K40" s="10">
        <f>B40*Supuestos!B21*Supuestos!B8</f>
        <v>12160000</v>
      </c>
      <c r="L40" s="10">
        <f>Supuestos!B22+Supuestos!B23+Supuestos!B24+Supuestos!B25</f>
        <v>25000</v>
      </c>
      <c r="M40" s="10">
        <f>Supuestos!B26</f>
        <v>6000</v>
      </c>
      <c r="N40" s="10">
        <f>N39*(1+Supuestos!B12)</f>
        <v>342718.26565615612</v>
      </c>
      <c r="O40" s="10">
        <f t="shared" si="8"/>
        <v>12533718.265656156</v>
      </c>
      <c r="P40" s="10">
        <f t="shared" si="9"/>
        <v>154666281.73434386</v>
      </c>
      <c r="Q40" s="10">
        <f>IF(B40*Supuestos!B8&gt;0,P40/(B40*Supuestos!B8),0)</f>
        <v>50.877066359981534</v>
      </c>
      <c r="R40" s="10">
        <f t="shared" si="10"/>
        <v>12.674537236637986</v>
      </c>
      <c r="S40" s="11">
        <f t="shared" si="11"/>
        <v>0.92503757018148236</v>
      </c>
    </row>
    <row r="41" spans="1:19" x14ac:dyDescent="0.2">
      <c r="A41" s="9">
        <v>38</v>
      </c>
      <c r="B41" s="17">
        <f>MIN(Supuestos!B5,B40*(1+Supuestos!B6+Supuestos!B7)+D41)</f>
        <v>100000</v>
      </c>
      <c r="C41" s="17">
        <f>B40*(Supuestos!B6+Supuestos!B7)+D41</f>
        <v>28372.696902893727</v>
      </c>
      <c r="D41" s="17">
        <f>IF(Supuestos!B13&gt;0,N41/Supuestos!B13,0)</f>
        <v>20372.696902893727</v>
      </c>
      <c r="E41" s="17">
        <f t="shared" si="6"/>
        <v>8000</v>
      </c>
      <c r="F41" s="10">
        <f>Supuestos!B31</f>
        <v>55</v>
      </c>
      <c r="G41" s="10">
        <f t="shared" si="7"/>
        <v>167200000</v>
      </c>
      <c r="H41" s="10">
        <f>B41*Supuestos!B16*Supuestos!B8</f>
        <v>106400000</v>
      </c>
      <c r="I41" s="10">
        <f>B41*Supuestos!B17*Supuestos!B8</f>
        <v>45600000</v>
      </c>
      <c r="J41" s="10">
        <f>B41*Supuestos!B18*Supuestos!B8</f>
        <v>15200000</v>
      </c>
      <c r="K41" s="10">
        <f>B41*Supuestos!B21*Supuestos!B8</f>
        <v>12160000</v>
      </c>
      <c r="L41" s="10">
        <f>Supuestos!B22+Supuestos!B23+Supuestos!B24+Supuestos!B25</f>
        <v>25000</v>
      </c>
      <c r="M41" s="10">
        <f>Supuestos!B26</f>
        <v>6000</v>
      </c>
      <c r="N41" s="10">
        <f>N40*(1+Supuestos!B12)</f>
        <v>366708.54425208707</v>
      </c>
      <c r="O41" s="10">
        <f t="shared" si="8"/>
        <v>12557708.544252086</v>
      </c>
      <c r="P41" s="10">
        <f t="shared" si="9"/>
        <v>154642291.4557479</v>
      </c>
      <c r="Q41" s="10">
        <f>IF(B41*Supuestos!B8&gt;0,P41/(B41*Supuestos!B8),0)</f>
        <v>50.869174820969704</v>
      </c>
      <c r="R41" s="10">
        <f t="shared" si="10"/>
        <v>12.92469818809105</v>
      </c>
      <c r="S41" s="11">
        <f t="shared" si="11"/>
        <v>0.92489408765399461</v>
      </c>
    </row>
    <row r="42" spans="1:19" x14ac:dyDescent="0.2">
      <c r="A42" s="9">
        <v>39</v>
      </c>
      <c r="B42" s="17">
        <f>MIN(Supuestos!B5,B41*(1+Supuestos!B6+Supuestos!B7)+D42)</f>
        <v>100000</v>
      </c>
      <c r="C42" s="17">
        <f>B41*(Supuestos!B6+Supuestos!B7)+D42</f>
        <v>29798.785686096289</v>
      </c>
      <c r="D42" s="17">
        <f>IF(Supuestos!B13&gt;0,N42/Supuestos!B13,0)</f>
        <v>21798.785686096289</v>
      </c>
      <c r="E42" s="17">
        <f t="shared" si="6"/>
        <v>8000</v>
      </c>
      <c r="F42" s="10">
        <f>Supuestos!B31</f>
        <v>55</v>
      </c>
      <c r="G42" s="10">
        <f t="shared" si="7"/>
        <v>167200000</v>
      </c>
      <c r="H42" s="10">
        <f>B42*Supuestos!B16*Supuestos!B8</f>
        <v>106400000</v>
      </c>
      <c r="I42" s="10">
        <f>B42*Supuestos!B17*Supuestos!B8</f>
        <v>45600000</v>
      </c>
      <c r="J42" s="10">
        <f>B42*Supuestos!B18*Supuestos!B8</f>
        <v>15200000</v>
      </c>
      <c r="K42" s="10">
        <f>B42*Supuestos!B21*Supuestos!B8</f>
        <v>12160000</v>
      </c>
      <c r="L42" s="10">
        <f>Supuestos!B22+Supuestos!B23+Supuestos!B24+Supuestos!B25</f>
        <v>25000</v>
      </c>
      <c r="M42" s="10">
        <f>Supuestos!B26</f>
        <v>6000</v>
      </c>
      <c r="N42" s="10">
        <f>N41*(1+Supuestos!B12)</f>
        <v>392378.14234973321</v>
      </c>
      <c r="O42" s="10">
        <f t="shared" si="8"/>
        <v>12583378.142349733</v>
      </c>
      <c r="P42" s="10">
        <f t="shared" si="9"/>
        <v>154616621.85765028</v>
      </c>
      <c r="Q42" s="10">
        <f>IF(B42*Supuestos!B8&gt;0,P42/(B42*Supuestos!B8),0)</f>
        <v>50.860730874227066</v>
      </c>
      <c r="R42" s="10">
        <f t="shared" si="10"/>
        <v>13.167588319976796</v>
      </c>
      <c r="S42" s="11">
        <f t="shared" si="11"/>
        <v>0.92474056134958305</v>
      </c>
    </row>
    <row r="43" spans="1:19" x14ac:dyDescent="0.2">
      <c r="A43" s="9">
        <v>40</v>
      </c>
      <c r="B43" s="17">
        <f>MIN(Supuestos!B5,B42*(1+Supuestos!B6+Supuestos!B7)+D43)</f>
        <v>100000</v>
      </c>
      <c r="C43" s="17">
        <f>B42*(Supuestos!B6+Supuestos!B7)+D43</f>
        <v>31324.700684123032</v>
      </c>
      <c r="D43" s="17">
        <f>IF(Supuestos!B13&gt;0,N43/Supuestos!B13,0)</f>
        <v>23324.700684123032</v>
      </c>
      <c r="E43" s="17">
        <f t="shared" si="6"/>
        <v>8000</v>
      </c>
      <c r="F43" s="10">
        <f>Supuestos!B31</f>
        <v>55</v>
      </c>
      <c r="G43" s="10">
        <f t="shared" si="7"/>
        <v>167200000</v>
      </c>
      <c r="H43" s="10">
        <f>B43*Supuestos!B16*Supuestos!B8</f>
        <v>106400000</v>
      </c>
      <c r="I43" s="10">
        <f>B43*Supuestos!B17*Supuestos!B8</f>
        <v>45600000</v>
      </c>
      <c r="J43" s="10">
        <f>B43*Supuestos!B18*Supuestos!B8</f>
        <v>15200000</v>
      </c>
      <c r="K43" s="10">
        <f>B43*Supuestos!B21*Supuestos!B8</f>
        <v>12160000</v>
      </c>
      <c r="L43" s="10">
        <f>Supuestos!B22+Supuestos!B23+Supuestos!B24+Supuestos!B25</f>
        <v>25000</v>
      </c>
      <c r="M43" s="10">
        <f>Supuestos!B26</f>
        <v>6000</v>
      </c>
      <c r="N43" s="10">
        <f>N42*(1+Supuestos!B12)</f>
        <v>419844.61231421458</v>
      </c>
      <c r="O43" s="10">
        <f t="shared" si="8"/>
        <v>12610844.612314215</v>
      </c>
      <c r="P43" s="10">
        <f t="shared" si="9"/>
        <v>154589155.38768578</v>
      </c>
      <c r="Q43" s="10">
        <f>IF(B43*Supuestos!B8&gt;0,P43/(B43*Supuestos!B8),0)</f>
        <v>50.851695851212426</v>
      </c>
      <c r="R43" s="10">
        <f t="shared" si="10"/>
        <v>13.402988796218997</v>
      </c>
      <c r="S43" s="11">
        <f t="shared" si="11"/>
        <v>0.92457628820386228</v>
      </c>
    </row>
    <row r="44" spans="1:19" x14ac:dyDescent="0.2">
      <c r="A44" s="9">
        <v>41</v>
      </c>
      <c r="B44" s="17">
        <f>MIN(Supuestos!B5,B43*(1+Supuestos!B6+Supuestos!B7)+D44)</f>
        <v>100000</v>
      </c>
      <c r="C44" s="17">
        <f>B43*(Supuestos!B6+Supuestos!B7)+D44</f>
        <v>32957.429732011646</v>
      </c>
      <c r="D44" s="17">
        <f>IF(Supuestos!B13&gt;0,N44/Supuestos!B13,0)</f>
        <v>24957.429732011646</v>
      </c>
      <c r="E44" s="17">
        <f t="shared" si="6"/>
        <v>8000</v>
      </c>
      <c r="F44" s="10">
        <f>Supuestos!B31</f>
        <v>55</v>
      </c>
      <c r="G44" s="10">
        <f t="shared" si="7"/>
        <v>167200000</v>
      </c>
      <c r="H44" s="10">
        <f>B44*Supuestos!B16*Supuestos!B8</f>
        <v>106400000</v>
      </c>
      <c r="I44" s="10">
        <f>B44*Supuestos!B17*Supuestos!B8</f>
        <v>45600000</v>
      </c>
      <c r="J44" s="10">
        <f>B44*Supuestos!B18*Supuestos!B8</f>
        <v>15200000</v>
      </c>
      <c r="K44" s="10">
        <f>B44*Supuestos!B21*Supuestos!B8</f>
        <v>12160000</v>
      </c>
      <c r="L44" s="10">
        <f>Supuestos!B22+Supuestos!B23+Supuestos!B24+Supuestos!B25</f>
        <v>25000</v>
      </c>
      <c r="M44" s="10">
        <f>Supuestos!B26</f>
        <v>6000</v>
      </c>
      <c r="N44" s="10">
        <f>N43*(1+Supuestos!B12)</f>
        <v>449233.73517620965</v>
      </c>
      <c r="O44" s="10">
        <f t="shared" si="8"/>
        <v>12640233.735176209</v>
      </c>
      <c r="P44" s="10">
        <f t="shared" si="9"/>
        <v>154559766.26482379</v>
      </c>
      <c r="Q44" s="10">
        <f>IF(B44*Supuestos!B8&gt;0,P44/(B44*Supuestos!B8),0)</f>
        <v>50.842028376586775</v>
      </c>
      <c r="R44" s="10">
        <f t="shared" si="10"/>
        <v>13.630727239019723</v>
      </c>
      <c r="S44" s="11">
        <f t="shared" si="11"/>
        <v>0.92440051593794137</v>
      </c>
    </row>
    <row r="45" spans="1:19" x14ac:dyDescent="0.2">
      <c r="A45" s="9">
        <v>42</v>
      </c>
      <c r="B45" s="17">
        <f>MIN(Supuestos!B5,B44*(1+Supuestos!B6+Supuestos!B7)+D45)</f>
        <v>100000</v>
      </c>
      <c r="C45" s="17">
        <f>B44*(Supuestos!B6+Supuestos!B7)+D45</f>
        <v>34704.44981325246</v>
      </c>
      <c r="D45" s="17">
        <f>IF(Supuestos!B13&gt;0,N45/Supuestos!B13,0)</f>
        <v>26704.449813252464</v>
      </c>
      <c r="E45" s="17">
        <f t="shared" si="6"/>
        <v>7999.9999999999964</v>
      </c>
      <c r="F45" s="10">
        <f>Supuestos!B31</f>
        <v>55</v>
      </c>
      <c r="G45" s="10">
        <f t="shared" si="7"/>
        <v>167200000</v>
      </c>
      <c r="H45" s="10">
        <f>B45*Supuestos!B16*Supuestos!B8</f>
        <v>106400000</v>
      </c>
      <c r="I45" s="10">
        <f>B45*Supuestos!B17*Supuestos!B8</f>
        <v>45600000</v>
      </c>
      <c r="J45" s="10">
        <f>B45*Supuestos!B18*Supuestos!B8</f>
        <v>15200000</v>
      </c>
      <c r="K45" s="10">
        <f>B45*Supuestos!B21*Supuestos!B8</f>
        <v>12160000</v>
      </c>
      <c r="L45" s="10">
        <f>Supuestos!B22+Supuestos!B23+Supuestos!B24+Supuestos!B25</f>
        <v>25000</v>
      </c>
      <c r="M45" s="10">
        <f>Supuestos!B26</f>
        <v>6000</v>
      </c>
      <c r="N45" s="10">
        <f>N44*(1+Supuestos!B12)</f>
        <v>480680.09663854435</v>
      </c>
      <c r="O45" s="10">
        <f t="shared" si="8"/>
        <v>12671680.096638544</v>
      </c>
      <c r="P45" s="10">
        <f t="shared" si="9"/>
        <v>154528319.90336147</v>
      </c>
      <c r="Q45" s="10">
        <f>IF(B45*Supuestos!B8&gt;0,P45/(B45*Supuestos!B8),0)</f>
        <v>50.831684178737326</v>
      </c>
      <c r="R45" s="10">
        <f t="shared" si="10"/>
        <v>13.850676187783527</v>
      </c>
      <c r="S45" s="11">
        <f t="shared" si="11"/>
        <v>0.92421243961340593</v>
      </c>
    </row>
    <row r="46" spans="1:19" x14ac:dyDescent="0.2">
      <c r="A46" s="9">
        <v>43</v>
      </c>
      <c r="B46" s="17">
        <f>MIN(Supuestos!B5,B45*(1+Supuestos!B6+Supuestos!B7)+D46)</f>
        <v>100000</v>
      </c>
      <c r="C46" s="17">
        <f>B45*(Supuestos!B6+Supuestos!B7)+D46</f>
        <v>36573.761300180136</v>
      </c>
      <c r="D46" s="17">
        <f>IF(Supuestos!B13&gt;0,N46/Supuestos!B13,0)</f>
        <v>28573.761300180136</v>
      </c>
      <c r="E46" s="17">
        <f t="shared" si="6"/>
        <v>8000</v>
      </c>
      <c r="F46" s="10">
        <f>Supuestos!B31</f>
        <v>55</v>
      </c>
      <c r="G46" s="10">
        <f t="shared" si="7"/>
        <v>167200000</v>
      </c>
      <c r="H46" s="10">
        <f>B46*Supuestos!B16*Supuestos!B8</f>
        <v>106400000</v>
      </c>
      <c r="I46" s="10">
        <f>B46*Supuestos!B17*Supuestos!B8</f>
        <v>45600000</v>
      </c>
      <c r="J46" s="10">
        <f>B46*Supuestos!B18*Supuestos!B8</f>
        <v>15200000</v>
      </c>
      <c r="K46" s="10">
        <f>B46*Supuestos!B21*Supuestos!B8</f>
        <v>12160000</v>
      </c>
      <c r="L46" s="10">
        <f>Supuestos!B22+Supuestos!B23+Supuestos!B24+Supuestos!B25</f>
        <v>25000</v>
      </c>
      <c r="M46" s="10">
        <f>Supuestos!B26</f>
        <v>6000</v>
      </c>
      <c r="N46" s="10">
        <f>N45*(1+Supuestos!B12)</f>
        <v>514327.70340324246</v>
      </c>
      <c r="O46" s="10">
        <f t="shared" si="8"/>
        <v>12705327.703403242</v>
      </c>
      <c r="P46" s="10">
        <f t="shared" si="9"/>
        <v>154494672.29659677</v>
      </c>
      <c r="Q46" s="10">
        <f>IF(B46*Supuestos!B8&gt;0,P46/(B46*Supuestos!B8),0)</f>
        <v>50.820615887038407</v>
      </c>
      <c r="R46" s="10">
        <f t="shared" si="10"/>
        <v>14.062751139591137</v>
      </c>
      <c r="S46" s="11">
        <f t="shared" si="11"/>
        <v>0.92401119794615294</v>
      </c>
    </row>
    <row r="47" spans="1:19" x14ac:dyDescent="0.2">
      <c r="A47" s="9">
        <v>44</v>
      </c>
      <c r="B47" s="17">
        <f>MIN(Supuestos!B5,B46*(1+Supuestos!B6+Supuestos!B7)+D47)</f>
        <v>100000</v>
      </c>
      <c r="C47" s="17">
        <f>B46*(Supuestos!B6+Supuestos!B7)+D47</f>
        <v>38573.92459119275</v>
      </c>
      <c r="D47" s="17">
        <f>IF(Supuestos!B13&gt;0,N47/Supuestos!B13,0)</f>
        <v>30573.92459119275</v>
      </c>
      <c r="E47" s="17">
        <f t="shared" si="6"/>
        <v>8000</v>
      </c>
      <c r="F47" s="10">
        <f>Supuestos!B31</f>
        <v>55</v>
      </c>
      <c r="G47" s="10">
        <f t="shared" si="7"/>
        <v>167200000</v>
      </c>
      <c r="H47" s="10">
        <f>B47*Supuestos!B16*Supuestos!B8</f>
        <v>106400000</v>
      </c>
      <c r="I47" s="10">
        <f>B47*Supuestos!B17*Supuestos!B8</f>
        <v>45600000</v>
      </c>
      <c r="J47" s="10">
        <f>B47*Supuestos!B18*Supuestos!B8</f>
        <v>15200000</v>
      </c>
      <c r="K47" s="10">
        <f>B47*Supuestos!B21*Supuestos!B8</f>
        <v>12160000</v>
      </c>
      <c r="L47" s="10">
        <f>Supuestos!B22+Supuestos!B23+Supuestos!B24+Supuestos!B25</f>
        <v>25000</v>
      </c>
      <c r="M47" s="10">
        <f>Supuestos!B26</f>
        <v>6000</v>
      </c>
      <c r="N47" s="10">
        <f>N46*(1+Supuestos!B12)</f>
        <v>550330.64264146949</v>
      </c>
      <c r="O47" s="10">
        <f t="shared" si="8"/>
        <v>12741330.64264147</v>
      </c>
      <c r="P47" s="10">
        <f t="shared" si="9"/>
        <v>154458669.35735852</v>
      </c>
      <c r="Q47" s="10">
        <f>IF(B47*Supuestos!B8&gt;0,P47/(B47*Supuestos!B8),0)</f>
        <v>50.808772814920566</v>
      </c>
      <c r="R47" s="10">
        <f t="shared" si="10"/>
        <v>14.266908241095118</v>
      </c>
      <c r="S47" s="11">
        <f t="shared" si="11"/>
        <v>0.92379586936219205</v>
      </c>
    </row>
    <row r="48" spans="1:19" x14ac:dyDescent="0.2">
      <c r="A48" s="9">
        <v>45</v>
      </c>
      <c r="B48" s="17">
        <f>MIN(Supuestos!B5,B47*(1+Supuestos!B6+Supuestos!B7)+D48)</f>
        <v>100000</v>
      </c>
      <c r="C48" s="17">
        <f>B47*(Supuestos!B6+Supuestos!B7)+D48</f>
        <v>40714.099312576247</v>
      </c>
      <c r="D48" s="17">
        <f>IF(Supuestos!B13&gt;0,N48/Supuestos!B13,0)</f>
        <v>32714.099312576247</v>
      </c>
      <c r="E48" s="17">
        <f t="shared" si="6"/>
        <v>8000</v>
      </c>
      <c r="F48" s="10">
        <f>Supuestos!B31</f>
        <v>55</v>
      </c>
      <c r="G48" s="10">
        <f t="shared" si="7"/>
        <v>167200000</v>
      </c>
      <c r="H48" s="10">
        <f>B48*Supuestos!B16*Supuestos!B8</f>
        <v>106400000</v>
      </c>
      <c r="I48" s="10">
        <f>B48*Supuestos!B17*Supuestos!B8</f>
        <v>45600000</v>
      </c>
      <c r="J48" s="10">
        <f>B48*Supuestos!B18*Supuestos!B8</f>
        <v>15200000</v>
      </c>
      <c r="K48" s="10">
        <f>B48*Supuestos!B21*Supuestos!B8</f>
        <v>12160000</v>
      </c>
      <c r="L48" s="10">
        <f>Supuestos!B22+Supuestos!B23+Supuestos!B24+Supuestos!B25</f>
        <v>25000</v>
      </c>
      <c r="M48" s="10">
        <f>Supuestos!B26</f>
        <v>6000</v>
      </c>
      <c r="N48" s="10">
        <f>N47*(1+Supuestos!B12)</f>
        <v>588853.78762637242</v>
      </c>
      <c r="O48" s="10">
        <f t="shared" si="8"/>
        <v>12779853.787626373</v>
      </c>
      <c r="P48" s="10">
        <f t="shared" si="9"/>
        <v>154420146.21237361</v>
      </c>
      <c r="Q48" s="10">
        <f>IF(B48*Supuestos!B8&gt;0,P48/(B48*Supuestos!B8),0)</f>
        <v>50.796100727754478</v>
      </c>
      <c r="R48" s="10">
        <f t="shared" si="10"/>
        <v>14.46314170198235</v>
      </c>
      <c r="S48" s="11">
        <f t="shared" si="11"/>
        <v>0.92356546777735415</v>
      </c>
    </row>
    <row r="49" spans="1:19" x14ac:dyDescent="0.2">
      <c r="A49" s="9">
        <v>46</v>
      </c>
      <c r="B49" s="17">
        <f>MIN(Supuestos!B5,B48*(1+Supuestos!B6+Supuestos!B7)+D49)</f>
        <v>100000</v>
      </c>
      <c r="C49" s="17">
        <f>B48*(Supuestos!B6+Supuestos!B7)+D49</f>
        <v>43004.086264456586</v>
      </c>
      <c r="D49" s="17">
        <f>IF(Supuestos!B13&gt;0,N49/Supuestos!B13,0)</f>
        <v>35004.086264456586</v>
      </c>
      <c r="E49" s="17">
        <f t="shared" si="6"/>
        <v>8000</v>
      </c>
      <c r="F49" s="10">
        <f>Supuestos!B31</f>
        <v>55</v>
      </c>
      <c r="G49" s="10">
        <f t="shared" si="7"/>
        <v>167200000</v>
      </c>
      <c r="H49" s="10">
        <f>B49*Supuestos!B16*Supuestos!B8</f>
        <v>106400000</v>
      </c>
      <c r="I49" s="10">
        <f>B49*Supuestos!B17*Supuestos!B8</f>
        <v>45600000</v>
      </c>
      <c r="J49" s="10">
        <f>B49*Supuestos!B18*Supuestos!B8</f>
        <v>15200000</v>
      </c>
      <c r="K49" s="10">
        <f>B49*Supuestos!B21*Supuestos!B8</f>
        <v>12160000</v>
      </c>
      <c r="L49" s="10">
        <f>Supuestos!B22+Supuestos!B23+Supuestos!B24+Supuestos!B25</f>
        <v>25000</v>
      </c>
      <c r="M49" s="10">
        <f>Supuestos!B26</f>
        <v>6000</v>
      </c>
      <c r="N49" s="10">
        <f>N48*(1+Supuestos!B12)</f>
        <v>630073.5527602185</v>
      </c>
      <c r="O49" s="10">
        <f t="shared" si="8"/>
        <v>12821073.552760219</v>
      </c>
      <c r="P49" s="10">
        <f t="shared" si="9"/>
        <v>154378926.44723979</v>
      </c>
      <c r="Q49" s="10">
        <f>IF(B49*Supuestos!B8&gt;0,P49/(B49*Supuestos!B8),0)</f>
        <v>50.782541594486773</v>
      </c>
      <c r="R49" s="10">
        <f t="shared" si="10"/>
        <v>14.651480998469259</v>
      </c>
      <c r="S49" s="11">
        <f t="shared" si="11"/>
        <v>0.92331893808157772</v>
      </c>
    </row>
    <row r="50" spans="1:19" x14ac:dyDescent="0.2">
      <c r="A50" s="9">
        <v>47</v>
      </c>
      <c r="B50" s="17">
        <f>MIN(Supuestos!B5,B49*(1+Supuestos!B6+Supuestos!B7)+D50)</f>
        <v>100000</v>
      </c>
      <c r="C50" s="17">
        <f>B49*(Supuestos!B6+Supuestos!B7)+D50</f>
        <v>45454.37230296855</v>
      </c>
      <c r="D50" s="17">
        <f>IF(Supuestos!B13&gt;0,N50/Supuestos!B13,0)</f>
        <v>37454.37230296855</v>
      </c>
      <c r="E50" s="17">
        <f t="shared" si="6"/>
        <v>8000</v>
      </c>
      <c r="F50" s="10">
        <f>Supuestos!B31</f>
        <v>55</v>
      </c>
      <c r="G50" s="10">
        <f t="shared" si="7"/>
        <v>167200000</v>
      </c>
      <c r="H50" s="10">
        <f>B50*Supuestos!B16*Supuestos!B8</f>
        <v>106400000</v>
      </c>
      <c r="I50" s="10">
        <f>B50*Supuestos!B17*Supuestos!B8</f>
        <v>45600000</v>
      </c>
      <c r="J50" s="10">
        <f>B50*Supuestos!B18*Supuestos!B8</f>
        <v>15200000</v>
      </c>
      <c r="K50" s="10">
        <f>B50*Supuestos!B21*Supuestos!B8</f>
        <v>12160000</v>
      </c>
      <c r="L50" s="10">
        <f>Supuestos!B22+Supuestos!B23+Supuestos!B24+Supuestos!B25</f>
        <v>25000</v>
      </c>
      <c r="M50" s="10">
        <f>Supuestos!B26</f>
        <v>6000</v>
      </c>
      <c r="N50" s="10">
        <f>N49*(1+Supuestos!B12)</f>
        <v>674178.70145343384</v>
      </c>
      <c r="O50" s="10">
        <f t="shared" si="8"/>
        <v>12865178.701453434</v>
      </c>
      <c r="P50" s="10">
        <f t="shared" si="9"/>
        <v>154334821.29854655</v>
      </c>
      <c r="Q50" s="10">
        <f>IF(B50*Supuestos!B8&gt;0,P50/(B50*Supuestos!B8),0)</f>
        <v>50.768033321890314</v>
      </c>
      <c r="R50" s="10">
        <f t="shared" si="10"/>
        <v>14.831987931981724</v>
      </c>
      <c r="S50" s="11">
        <f t="shared" si="11"/>
        <v>0.92305515130709659</v>
      </c>
    </row>
    <row r="51" spans="1:19" x14ac:dyDescent="0.2">
      <c r="A51" s="9">
        <v>48</v>
      </c>
      <c r="B51" s="17">
        <f>MIN(Supuestos!B5,B50*(1+Supuestos!B6+Supuestos!B7)+D51)</f>
        <v>100000</v>
      </c>
      <c r="C51" s="17">
        <f>B50*(Supuestos!B6+Supuestos!B7)+D51</f>
        <v>48076.178364176347</v>
      </c>
      <c r="D51" s="17">
        <f>IF(Supuestos!B13&gt;0,N51/Supuestos!B13,0)</f>
        <v>40076.178364176347</v>
      </c>
      <c r="E51" s="17">
        <f t="shared" si="6"/>
        <v>8000</v>
      </c>
      <c r="F51" s="10">
        <f>Supuestos!B31</f>
        <v>55</v>
      </c>
      <c r="G51" s="10">
        <f t="shared" si="7"/>
        <v>167200000</v>
      </c>
      <c r="H51" s="10">
        <f>B51*Supuestos!B16*Supuestos!B8</f>
        <v>106400000</v>
      </c>
      <c r="I51" s="10">
        <f>B51*Supuestos!B17*Supuestos!B8</f>
        <v>45600000</v>
      </c>
      <c r="J51" s="10">
        <f>B51*Supuestos!B18*Supuestos!B8</f>
        <v>15200000</v>
      </c>
      <c r="K51" s="10">
        <f>B51*Supuestos!B21*Supuestos!B8</f>
        <v>12160000</v>
      </c>
      <c r="L51" s="10">
        <f>Supuestos!B22+Supuestos!B23+Supuestos!B24+Supuestos!B25</f>
        <v>25000</v>
      </c>
      <c r="M51" s="10">
        <f>Supuestos!B26</f>
        <v>6000</v>
      </c>
      <c r="N51" s="10">
        <f>N50*(1+Supuestos!B12)</f>
        <v>721371.21055517427</v>
      </c>
      <c r="O51" s="10">
        <f t="shared" si="8"/>
        <v>12912371.210555173</v>
      </c>
      <c r="P51" s="10">
        <f t="shared" si="9"/>
        <v>154287628.78944483</v>
      </c>
      <c r="Q51" s="10">
        <f>IF(B51*Supuestos!B8&gt;0,P51/(B51*Supuestos!B8),0)</f>
        <v>50.752509470212118</v>
      </c>
      <c r="R51" s="10">
        <f t="shared" si="10"/>
        <v>15.004753603558044</v>
      </c>
      <c r="S51" s="11">
        <f t="shared" si="11"/>
        <v>0.92277289945840213</v>
      </c>
    </row>
    <row r="52" spans="1:19" x14ac:dyDescent="0.2">
      <c r="A52" s="9">
        <v>49</v>
      </c>
      <c r="B52" s="17">
        <f>MIN(Supuestos!B5,B51*(1+Supuestos!B6+Supuestos!B7)+D52)</f>
        <v>100000</v>
      </c>
      <c r="C52" s="17">
        <f>B51*(Supuestos!B6+Supuestos!B7)+D52</f>
        <v>50881.510849668695</v>
      </c>
      <c r="D52" s="17">
        <f>IF(Supuestos!B13&gt;0,N52/Supuestos!B13,0)</f>
        <v>42881.510849668695</v>
      </c>
      <c r="E52" s="17">
        <f t="shared" si="6"/>
        <v>8000</v>
      </c>
      <c r="F52" s="10">
        <f>Supuestos!B31</f>
        <v>55</v>
      </c>
      <c r="G52" s="10">
        <f t="shared" si="7"/>
        <v>167200000</v>
      </c>
      <c r="H52" s="10">
        <f>B52*Supuestos!B16*Supuestos!B8</f>
        <v>106400000</v>
      </c>
      <c r="I52" s="10">
        <f>B52*Supuestos!B17*Supuestos!B8</f>
        <v>45600000</v>
      </c>
      <c r="J52" s="10">
        <f>B52*Supuestos!B18*Supuestos!B8</f>
        <v>15200000</v>
      </c>
      <c r="K52" s="10">
        <f>B52*Supuestos!B21*Supuestos!B8</f>
        <v>12160000</v>
      </c>
      <c r="L52" s="10">
        <f>Supuestos!B22+Supuestos!B23+Supuestos!B24+Supuestos!B25</f>
        <v>25000</v>
      </c>
      <c r="M52" s="10">
        <f>Supuestos!B26</f>
        <v>6000</v>
      </c>
      <c r="N52" s="10">
        <f>N51*(1+Supuestos!B12)</f>
        <v>771867.19529403653</v>
      </c>
      <c r="O52" s="10">
        <f t="shared" si="8"/>
        <v>12962867.195294037</v>
      </c>
      <c r="P52" s="10">
        <f t="shared" si="9"/>
        <v>154237132.80470598</v>
      </c>
      <c r="Q52" s="10">
        <f>IF(B52*Supuestos!B8&gt;0,P52/(B52*Supuestos!B8),0)</f>
        <v>50.735898948916443</v>
      </c>
      <c r="R52" s="10">
        <f t="shared" si="10"/>
        <v>15.169895358935914</v>
      </c>
      <c r="S52" s="11">
        <f t="shared" si="11"/>
        <v>0.92247088998029891</v>
      </c>
    </row>
    <row r="53" spans="1:19" x14ac:dyDescent="0.2">
      <c r="A53" s="9">
        <v>50</v>
      </c>
      <c r="B53" s="17">
        <f>MIN(Supuestos!B5,B52*(1+Supuestos!B6+Supuestos!B7)+D53)</f>
        <v>100000</v>
      </c>
      <c r="C53" s="17">
        <f>B52*(Supuestos!B6+Supuestos!B7)+D53</f>
        <v>53883.216609145507</v>
      </c>
      <c r="D53" s="17">
        <f>IF(Supuestos!B13&gt;0,N53/Supuestos!B13,0)</f>
        <v>45883.216609145507</v>
      </c>
      <c r="E53" s="17">
        <f t="shared" si="6"/>
        <v>8000</v>
      </c>
      <c r="F53" s="10">
        <f>Supuestos!B31</f>
        <v>55</v>
      </c>
      <c r="G53" s="10">
        <f t="shared" si="7"/>
        <v>167200000</v>
      </c>
      <c r="H53" s="10">
        <f>B53*Supuestos!B16*Supuestos!B8</f>
        <v>106400000</v>
      </c>
      <c r="I53" s="10">
        <f>B53*Supuestos!B17*Supuestos!B8</f>
        <v>45600000</v>
      </c>
      <c r="J53" s="10">
        <f>B53*Supuestos!B18*Supuestos!B8</f>
        <v>15200000</v>
      </c>
      <c r="K53" s="10">
        <f>B53*Supuestos!B21*Supuestos!B8</f>
        <v>12160000</v>
      </c>
      <c r="L53" s="10">
        <f>Supuestos!B22+Supuestos!B23+Supuestos!B24+Supuestos!B25</f>
        <v>25000</v>
      </c>
      <c r="M53" s="10">
        <f>Supuestos!B26</f>
        <v>6000</v>
      </c>
      <c r="N53" s="10">
        <f>N52*(1+Supuestos!B12)</f>
        <v>825897.89896461915</v>
      </c>
      <c r="O53" s="10">
        <f t="shared" si="8"/>
        <v>13016897.898964619</v>
      </c>
      <c r="P53" s="10">
        <f t="shared" si="9"/>
        <v>154183102.10103539</v>
      </c>
      <c r="Q53" s="10">
        <f>IF(B53*Supuestos!B8&gt;0,P53/(B53*Supuestos!B8),0)</f>
        <v>50.718125691130062</v>
      </c>
      <c r="R53" s="10">
        <f t="shared" si="10"/>
        <v>15.32755375306308</v>
      </c>
      <c r="S53" s="11">
        <f t="shared" si="11"/>
        <v>0.92214773983872844</v>
      </c>
    </row>
    <row r="54" spans="1:19" x14ac:dyDescent="0.2">
      <c r="A54" s="9">
        <v>51</v>
      </c>
      <c r="B54" s="17">
        <f>MIN(Supuestos!B5,B53*(1+Supuestos!B6+Supuestos!B7)+D54)</f>
        <v>100000</v>
      </c>
      <c r="C54" s="17">
        <f>B53*(Supuestos!B6+Supuestos!B7)+D54</f>
        <v>57095.041771785698</v>
      </c>
      <c r="D54" s="17">
        <f>IF(Supuestos!B13&gt;0,N54/Supuestos!B13,0)</f>
        <v>49095.041771785698</v>
      </c>
      <c r="E54" s="17">
        <f t="shared" si="6"/>
        <v>8000</v>
      </c>
      <c r="F54" s="10">
        <f>Supuestos!B31</f>
        <v>55</v>
      </c>
      <c r="G54" s="10">
        <f t="shared" si="7"/>
        <v>167200000</v>
      </c>
      <c r="H54" s="10">
        <f>B54*Supuestos!B16*Supuestos!B8</f>
        <v>106400000</v>
      </c>
      <c r="I54" s="10">
        <f>B54*Supuestos!B17*Supuestos!B8</f>
        <v>45600000</v>
      </c>
      <c r="J54" s="10">
        <f>B54*Supuestos!B18*Supuestos!B8</f>
        <v>15200000</v>
      </c>
      <c r="K54" s="10">
        <f>B54*Supuestos!B21*Supuestos!B8</f>
        <v>12160000</v>
      </c>
      <c r="L54" s="10">
        <f>Supuestos!B22+Supuestos!B23+Supuestos!B24+Supuestos!B25</f>
        <v>25000</v>
      </c>
      <c r="M54" s="10">
        <f>Supuestos!B26</f>
        <v>6000</v>
      </c>
      <c r="N54" s="10">
        <f>N53*(1+Supuestos!B12)</f>
        <v>883710.75189214258</v>
      </c>
      <c r="O54" s="10">
        <f t="shared" si="8"/>
        <v>13074710.751892142</v>
      </c>
      <c r="P54" s="10">
        <f t="shared" si="9"/>
        <v>154125289.24810785</v>
      </c>
      <c r="Q54" s="10">
        <f>IF(B54*Supuestos!B8&gt;0,P54/(B54*Supuestos!B8),0)</f>
        <v>50.699108305298637</v>
      </c>
      <c r="R54" s="10">
        <f t="shared" si="10"/>
        <v>15.47788957619855</v>
      </c>
      <c r="S54" s="11">
        <f t="shared" si="11"/>
        <v>0.92180196918724788</v>
      </c>
    </row>
    <row r="55" spans="1:19" x14ac:dyDescent="0.2">
      <c r="A55" s="9">
        <v>52</v>
      </c>
      <c r="B55" s="17">
        <f>MIN(Supuestos!B5,B54*(1+Supuestos!B6+Supuestos!B7)+D55)</f>
        <v>100000</v>
      </c>
      <c r="C55" s="17">
        <f>B54*(Supuestos!B6+Supuestos!B7)+D55</f>
        <v>60531.6946958107</v>
      </c>
      <c r="D55" s="17">
        <f>IF(Supuestos!B13&gt;0,N55/Supuestos!B13,0)</f>
        <v>52531.6946958107</v>
      </c>
      <c r="E55" s="17">
        <f t="shared" si="6"/>
        <v>8000</v>
      </c>
      <c r="F55" s="10">
        <f>Supuestos!B31</f>
        <v>55</v>
      </c>
      <c r="G55" s="10">
        <f t="shared" si="7"/>
        <v>167200000</v>
      </c>
      <c r="H55" s="10">
        <f>B55*Supuestos!B16*Supuestos!B8</f>
        <v>106400000</v>
      </c>
      <c r="I55" s="10">
        <f>B55*Supuestos!B17*Supuestos!B8</f>
        <v>45600000</v>
      </c>
      <c r="J55" s="10">
        <f>B55*Supuestos!B18*Supuestos!B8</f>
        <v>15200000</v>
      </c>
      <c r="K55" s="10">
        <f>B55*Supuestos!B21*Supuestos!B8</f>
        <v>12160000</v>
      </c>
      <c r="L55" s="10">
        <f>Supuestos!B22+Supuestos!B23+Supuestos!B24+Supuestos!B25</f>
        <v>25000</v>
      </c>
      <c r="M55" s="10">
        <f>Supuestos!B26</f>
        <v>6000</v>
      </c>
      <c r="N55" s="10">
        <f>N54*(1+Supuestos!B12)</f>
        <v>945570.50452459266</v>
      </c>
      <c r="O55" s="10">
        <f t="shared" si="8"/>
        <v>13136570.504524592</v>
      </c>
      <c r="P55" s="10">
        <f t="shared" si="9"/>
        <v>154063429.49547541</v>
      </c>
      <c r="Q55" s="10">
        <f>IF(B55*Supuestos!B8&gt;0,P55/(B55*Supuestos!B8),0)</f>
        <v>50.678759702459018</v>
      </c>
      <c r="R55" s="10">
        <f t="shared" si="10"/>
        <v>15.621080977103951</v>
      </c>
      <c r="S55" s="11">
        <f t="shared" si="11"/>
        <v>0.92143199459016389</v>
      </c>
    </row>
    <row r="56" spans="1:19" x14ac:dyDescent="0.2">
      <c r="A56" s="9">
        <v>53</v>
      </c>
      <c r="B56" s="17">
        <f>MIN(Supuestos!B5,B55*(1+Supuestos!B6+Supuestos!B7)+D56)</f>
        <v>100000</v>
      </c>
      <c r="C56" s="17">
        <f>B55*(Supuestos!B6+Supuestos!B7)+D56</f>
        <v>64208.91332451746</v>
      </c>
      <c r="D56" s="17">
        <f>IF(Supuestos!B13&gt;0,N56/Supuestos!B13,0)</f>
        <v>56208.91332451746</v>
      </c>
      <c r="E56" s="17">
        <f t="shared" si="6"/>
        <v>8000</v>
      </c>
      <c r="F56" s="10">
        <f>Supuestos!B31</f>
        <v>55</v>
      </c>
      <c r="G56" s="10">
        <f t="shared" si="7"/>
        <v>167200000</v>
      </c>
      <c r="H56" s="10">
        <f>B56*Supuestos!B16*Supuestos!B8</f>
        <v>106400000</v>
      </c>
      <c r="I56" s="10">
        <f>B56*Supuestos!B17*Supuestos!B8</f>
        <v>45600000</v>
      </c>
      <c r="J56" s="10">
        <f>B56*Supuestos!B18*Supuestos!B8</f>
        <v>15200000</v>
      </c>
      <c r="K56" s="10">
        <f>B56*Supuestos!B21*Supuestos!B8</f>
        <v>12160000</v>
      </c>
      <c r="L56" s="10">
        <f>Supuestos!B22+Supuestos!B23+Supuestos!B24+Supuestos!B25</f>
        <v>25000</v>
      </c>
      <c r="M56" s="10">
        <f>Supuestos!B26</f>
        <v>6000</v>
      </c>
      <c r="N56" s="10">
        <f>N55*(1+Supuestos!B12)</f>
        <v>1011760.4398413142</v>
      </c>
      <c r="O56" s="10">
        <f t="shared" si="8"/>
        <v>13202760.439841315</v>
      </c>
      <c r="P56" s="10">
        <f t="shared" si="9"/>
        <v>153997239.56015867</v>
      </c>
      <c r="Q56" s="10">
        <f>IF(B56*Supuestos!B8&gt;0,P56/(B56*Supuestos!B8),0)</f>
        <v>50.656986697420614</v>
      </c>
      <c r="R56" s="10">
        <f t="shared" si="10"/>
        <v>15.757320712278505</v>
      </c>
      <c r="S56" s="11">
        <f t="shared" si="11"/>
        <v>0.92103612177128391</v>
      </c>
    </row>
    <row r="57" spans="1:19" x14ac:dyDescent="0.2">
      <c r="A57" s="9">
        <v>54</v>
      </c>
      <c r="B57" s="17">
        <f>MIN(Supuestos!B5,B56*(1+Supuestos!B6+Supuestos!B7)+D57)</f>
        <v>100000</v>
      </c>
      <c r="C57" s="17">
        <f>B56*(Supuestos!B6+Supuestos!B7)+D57</f>
        <v>68143.537257233693</v>
      </c>
      <c r="D57" s="17">
        <f>IF(Supuestos!B13&gt;0,N57/Supuestos!B13,0)</f>
        <v>60143.537257233686</v>
      </c>
      <c r="E57" s="17">
        <f t="shared" si="6"/>
        <v>8000.0000000000073</v>
      </c>
      <c r="F57" s="10">
        <f>Supuestos!B31</f>
        <v>55</v>
      </c>
      <c r="G57" s="10">
        <f t="shared" si="7"/>
        <v>167200000</v>
      </c>
      <c r="H57" s="10">
        <f>B57*Supuestos!B16*Supuestos!B8</f>
        <v>106400000</v>
      </c>
      <c r="I57" s="10">
        <f>B57*Supuestos!B17*Supuestos!B8</f>
        <v>45600000</v>
      </c>
      <c r="J57" s="10">
        <f>B57*Supuestos!B18*Supuestos!B8</f>
        <v>15200000</v>
      </c>
      <c r="K57" s="10">
        <f>B57*Supuestos!B21*Supuestos!B8</f>
        <v>12160000</v>
      </c>
      <c r="L57" s="10">
        <f>Supuestos!B22+Supuestos!B23+Supuestos!B24+Supuestos!B25</f>
        <v>25000</v>
      </c>
      <c r="M57" s="10">
        <f>Supuestos!B26</f>
        <v>6000</v>
      </c>
      <c r="N57" s="10">
        <f>N56*(1+Supuestos!B12)</f>
        <v>1082583.6706302064</v>
      </c>
      <c r="O57" s="10">
        <f t="shared" si="8"/>
        <v>13273583.670630205</v>
      </c>
      <c r="P57" s="10">
        <f t="shared" si="9"/>
        <v>153926416.32936978</v>
      </c>
      <c r="Q57" s="10">
        <f>IF(B57*Supuestos!B8&gt;0,P57/(B57*Supuestos!B8),0)</f>
        <v>50.633689582029533</v>
      </c>
      <c r="R57" s="10">
        <f t="shared" si="10"/>
        <v>15.886813543940089</v>
      </c>
      <c r="S57" s="11">
        <f t="shared" si="11"/>
        <v>0.92061253785508246</v>
      </c>
    </row>
    <row r="58" spans="1:19" x14ac:dyDescent="0.2">
      <c r="A58" s="9">
        <v>55</v>
      </c>
      <c r="B58" s="17">
        <f>MIN(Supuestos!B5,B57*(1+Supuestos!B6+Supuestos!B7)+D58)</f>
        <v>100000</v>
      </c>
      <c r="C58" s="17">
        <f>B57*(Supuestos!B6+Supuestos!B7)+D58</f>
        <v>72353.584865240045</v>
      </c>
      <c r="D58" s="17">
        <f>IF(Supuestos!B13&gt;0,N58/Supuestos!B13,0)</f>
        <v>64353.584865240045</v>
      </c>
      <c r="E58" s="17">
        <f t="shared" si="6"/>
        <v>8000</v>
      </c>
      <c r="F58" s="10">
        <f>Supuestos!B31</f>
        <v>55</v>
      </c>
      <c r="G58" s="10">
        <f t="shared" si="7"/>
        <v>167200000</v>
      </c>
      <c r="H58" s="10">
        <f>B58*Supuestos!B16*Supuestos!B8</f>
        <v>106400000</v>
      </c>
      <c r="I58" s="10">
        <f>B58*Supuestos!B17*Supuestos!B8</f>
        <v>45600000</v>
      </c>
      <c r="J58" s="10">
        <f>B58*Supuestos!B18*Supuestos!B8</f>
        <v>15200000</v>
      </c>
      <c r="K58" s="10">
        <f>B58*Supuestos!B21*Supuestos!B8</f>
        <v>12160000</v>
      </c>
      <c r="L58" s="10">
        <f>Supuestos!B22+Supuestos!B23+Supuestos!B24+Supuestos!B25</f>
        <v>25000</v>
      </c>
      <c r="M58" s="10">
        <f>Supuestos!B26</f>
        <v>6000</v>
      </c>
      <c r="N58" s="10">
        <f>N57*(1+Supuestos!B12)</f>
        <v>1158364.5275743208</v>
      </c>
      <c r="O58" s="10">
        <f t="shared" si="8"/>
        <v>13349364.527574321</v>
      </c>
      <c r="P58" s="10">
        <f t="shared" si="9"/>
        <v>153850635.47242567</v>
      </c>
      <c r="Q58" s="10">
        <f>IF(B58*Supuestos!B8&gt;0,P58/(B58*Supuestos!B8),0)</f>
        <v>50.608761668561073</v>
      </c>
      <c r="R58" s="10">
        <f t="shared" si="10"/>
        <v>16.009773803631116</v>
      </c>
      <c r="S58" s="11">
        <f t="shared" si="11"/>
        <v>0.9201593030647468</v>
      </c>
    </row>
    <row r="59" spans="1:19" x14ac:dyDescent="0.2">
      <c r="A59" s="9">
        <v>56</v>
      </c>
      <c r="B59" s="17">
        <f>MIN(Supuestos!B5,B58*(1+Supuestos!B6+Supuestos!B7)+D59)</f>
        <v>100000</v>
      </c>
      <c r="C59" s="17">
        <f>B58*(Supuestos!B6+Supuestos!B7)+D59</f>
        <v>76858.335805806855</v>
      </c>
      <c r="D59" s="17">
        <f>IF(Supuestos!B13&gt;0,N59/Supuestos!B13,0)</f>
        <v>68858.335805806855</v>
      </c>
      <c r="E59" s="17">
        <f t="shared" si="6"/>
        <v>8000</v>
      </c>
      <c r="F59" s="10">
        <f>Supuestos!B31</f>
        <v>55</v>
      </c>
      <c r="G59" s="10">
        <f t="shared" si="7"/>
        <v>167200000</v>
      </c>
      <c r="H59" s="10">
        <f>B59*Supuestos!B16*Supuestos!B8</f>
        <v>106400000</v>
      </c>
      <c r="I59" s="10">
        <f>B59*Supuestos!B17*Supuestos!B8</f>
        <v>45600000</v>
      </c>
      <c r="J59" s="10">
        <f>B59*Supuestos!B18*Supuestos!B8</f>
        <v>15200000</v>
      </c>
      <c r="K59" s="10">
        <f>B59*Supuestos!B21*Supuestos!B8</f>
        <v>12160000</v>
      </c>
      <c r="L59" s="10">
        <f>Supuestos!B22+Supuestos!B23+Supuestos!B24+Supuestos!B25</f>
        <v>25000</v>
      </c>
      <c r="M59" s="10">
        <f>Supuestos!B26</f>
        <v>6000</v>
      </c>
      <c r="N59" s="10">
        <f>N58*(1+Supuestos!B12)</f>
        <v>1239450.0445045233</v>
      </c>
      <c r="O59" s="10">
        <f t="shared" si="8"/>
        <v>13430450.044504523</v>
      </c>
      <c r="P59" s="10">
        <f t="shared" si="9"/>
        <v>153769549.95549548</v>
      </c>
      <c r="Q59" s="10">
        <f>IF(B59*Supuestos!B8&gt;0,P59/(B59*Supuestos!B8),0)</f>
        <v>50.58208880114983</v>
      </c>
      <c r="R59" s="10">
        <f t="shared" si="10"/>
        <v>16.126423133024428</v>
      </c>
      <c r="S59" s="11">
        <f t="shared" si="11"/>
        <v>0.91967434183908781</v>
      </c>
    </row>
    <row r="60" spans="1:19" x14ac:dyDescent="0.2">
      <c r="A60" s="9">
        <v>57</v>
      </c>
      <c r="B60" s="17">
        <f>MIN(Supuestos!B5,B59*(1+Supuestos!B6+Supuestos!B7)+D60)</f>
        <v>100000</v>
      </c>
      <c r="C60" s="17">
        <f>B59*(Supuestos!B6+Supuestos!B7)+D60</f>
        <v>81678.419312213329</v>
      </c>
      <c r="D60" s="17">
        <f>IF(Supuestos!B13&gt;0,N60/Supuestos!B13,0)</f>
        <v>73678.419312213329</v>
      </c>
      <c r="E60" s="17">
        <f t="shared" si="6"/>
        <v>8000</v>
      </c>
      <c r="F60" s="10">
        <f>Supuestos!B31</f>
        <v>55</v>
      </c>
      <c r="G60" s="10">
        <f t="shared" si="7"/>
        <v>167200000</v>
      </c>
      <c r="H60" s="10">
        <f>B60*Supuestos!B16*Supuestos!B8</f>
        <v>106400000</v>
      </c>
      <c r="I60" s="10">
        <f>B60*Supuestos!B17*Supuestos!B8</f>
        <v>45600000</v>
      </c>
      <c r="J60" s="10">
        <f>B60*Supuestos!B18*Supuestos!B8</f>
        <v>15200000</v>
      </c>
      <c r="K60" s="10">
        <f>B60*Supuestos!B21*Supuestos!B8</f>
        <v>12160000</v>
      </c>
      <c r="L60" s="10">
        <f>Supuestos!B22+Supuestos!B23+Supuestos!B24+Supuestos!B25</f>
        <v>25000</v>
      </c>
      <c r="M60" s="10">
        <f>Supuestos!B26</f>
        <v>6000</v>
      </c>
      <c r="N60" s="10">
        <f>N59*(1+Supuestos!B12)</f>
        <v>1326211.5476198399</v>
      </c>
      <c r="O60" s="10">
        <f t="shared" si="8"/>
        <v>13517211.54761984</v>
      </c>
      <c r="P60" s="10">
        <f t="shared" si="9"/>
        <v>153682788.45238015</v>
      </c>
      <c r="Q60" s="10">
        <f>IF(B60*Supuestos!B8&gt;0,P60/(B60*Supuestos!B8),0)</f>
        <v>50.553548833019789</v>
      </c>
      <c r="R60" s="10">
        <f t="shared" si="10"/>
        <v>16.236988408779506</v>
      </c>
      <c r="S60" s="11">
        <f t="shared" si="11"/>
        <v>0.9191554333276325</v>
      </c>
    </row>
    <row r="61" spans="1:19" x14ac:dyDescent="0.2">
      <c r="A61" s="9">
        <v>58</v>
      </c>
      <c r="B61" s="17">
        <f>MIN(Supuestos!B5,B60*(1+Supuestos!B6+Supuestos!B7)+D61)</f>
        <v>100000</v>
      </c>
      <c r="C61" s="17">
        <f>B60*(Supuestos!B6+Supuestos!B7)+D61</f>
        <v>86835.908664068265</v>
      </c>
      <c r="D61" s="17">
        <f>IF(Supuestos!B13&gt;0,N61/Supuestos!B13,0)</f>
        <v>78835.908664068265</v>
      </c>
      <c r="E61" s="17">
        <f t="shared" si="6"/>
        <v>8000</v>
      </c>
      <c r="F61" s="10">
        <f>Supuestos!B31</f>
        <v>55</v>
      </c>
      <c r="G61" s="10">
        <f t="shared" si="7"/>
        <v>167200000</v>
      </c>
      <c r="H61" s="10">
        <f>B61*Supuestos!B16*Supuestos!B8</f>
        <v>106400000</v>
      </c>
      <c r="I61" s="10">
        <f>B61*Supuestos!B17*Supuestos!B8</f>
        <v>45600000</v>
      </c>
      <c r="J61" s="10">
        <f>B61*Supuestos!B18*Supuestos!B8</f>
        <v>15200000</v>
      </c>
      <c r="K61" s="10">
        <f>B61*Supuestos!B21*Supuestos!B8</f>
        <v>12160000</v>
      </c>
      <c r="L61" s="10">
        <f>Supuestos!B22+Supuestos!B23+Supuestos!B24+Supuestos!B25</f>
        <v>25000</v>
      </c>
      <c r="M61" s="10">
        <f>Supuestos!B26</f>
        <v>6000</v>
      </c>
      <c r="N61" s="10">
        <f>N60*(1+Supuestos!B12)</f>
        <v>1419046.3559532287</v>
      </c>
      <c r="O61" s="10">
        <f t="shared" si="8"/>
        <v>13610046.355953228</v>
      </c>
      <c r="P61" s="10">
        <f t="shared" si="9"/>
        <v>153589953.64404678</v>
      </c>
      <c r="Q61" s="10">
        <f>IF(B61*Supuestos!B8&gt;0,P61/(B61*Supuestos!B8),0)</f>
        <v>50.523011067120649</v>
      </c>
      <c r="R61" s="10">
        <f t="shared" si="10"/>
        <v>16.341699854180419</v>
      </c>
      <c r="S61" s="11">
        <f t="shared" si="11"/>
        <v>0.91860020122037545</v>
      </c>
    </row>
    <row r="62" spans="1:19" x14ac:dyDescent="0.2">
      <c r="A62" s="9">
        <v>59</v>
      </c>
      <c r="B62" s="17">
        <f>MIN(Supuestos!B5,B61*(1+Supuestos!B6+Supuestos!B7)+D62)</f>
        <v>100000</v>
      </c>
      <c r="C62" s="17">
        <f>B61*(Supuestos!B6+Supuestos!B7)+D62</f>
        <v>92354.422270553041</v>
      </c>
      <c r="D62" s="17">
        <f>IF(Supuestos!B13&gt;0,N62/Supuestos!B13,0)</f>
        <v>84354.422270553041</v>
      </c>
      <c r="E62" s="17">
        <f t="shared" si="6"/>
        <v>8000</v>
      </c>
      <c r="F62" s="10">
        <f>Supuestos!B31</f>
        <v>55</v>
      </c>
      <c r="G62" s="10">
        <f t="shared" si="7"/>
        <v>167200000</v>
      </c>
      <c r="H62" s="10">
        <f>B62*Supuestos!B16*Supuestos!B8</f>
        <v>106400000</v>
      </c>
      <c r="I62" s="10">
        <f>B62*Supuestos!B17*Supuestos!B8</f>
        <v>45600000</v>
      </c>
      <c r="J62" s="10">
        <f>B62*Supuestos!B18*Supuestos!B8</f>
        <v>15200000</v>
      </c>
      <c r="K62" s="10">
        <f>B62*Supuestos!B21*Supuestos!B8</f>
        <v>12160000</v>
      </c>
      <c r="L62" s="10">
        <f>Supuestos!B22+Supuestos!B23+Supuestos!B24+Supuestos!B25</f>
        <v>25000</v>
      </c>
      <c r="M62" s="10">
        <f>Supuestos!B26</f>
        <v>6000</v>
      </c>
      <c r="N62" s="10">
        <f>N61*(1+Supuestos!B12)</f>
        <v>1518379.6008699548</v>
      </c>
      <c r="O62" s="10">
        <f t="shared" si="8"/>
        <v>13709379.600869955</v>
      </c>
      <c r="P62" s="10">
        <f t="shared" si="9"/>
        <v>153490620.39913005</v>
      </c>
      <c r="Q62" s="10">
        <f>IF(B62*Supuestos!B8&gt;0,P62/(B62*Supuestos!B8),0)</f>
        <v>50.490335657608568</v>
      </c>
      <c r="R62" s="10">
        <f t="shared" si="10"/>
        <v>16.440789336777499</v>
      </c>
      <c r="S62" s="11">
        <f t="shared" si="11"/>
        <v>0.91800610286561035</v>
      </c>
    </row>
    <row r="63" spans="1:19" x14ac:dyDescent="0.2">
      <c r="A63" s="9">
        <v>60</v>
      </c>
      <c r="B63" s="17">
        <f>MIN(Supuestos!B5,B62*(1+Supuestos!B6+Supuestos!B7)+D63)</f>
        <v>100000</v>
      </c>
      <c r="C63" s="17">
        <f>B62*(Supuestos!B6+Supuestos!B7)+D63</f>
        <v>98259.231829491764</v>
      </c>
      <c r="D63" s="17">
        <f>IF(Supuestos!B13&gt;0,N63/Supuestos!B13,0)</f>
        <v>90259.231829491764</v>
      </c>
      <c r="E63" s="17">
        <f t="shared" si="6"/>
        <v>8000</v>
      </c>
      <c r="F63" s="10">
        <f>Supuestos!B31</f>
        <v>55</v>
      </c>
      <c r="G63" s="10">
        <f t="shared" si="7"/>
        <v>167200000</v>
      </c>
      <c r="H63" s="10">
        <f>B63*Supuestos!B16*Supuestos!B8</f>
        <v>106400000</v>
      </c>
      <c r="I63" s="10">
        <f>B63*Supuestos!B17*Supuestos!B8</f>
        <v>45600000</v>
      </c>
      <c r="J63" s="10">
        <f>B63*Supuestos!B18*Supuestos!B8</f>
        <v>15200000</v>
      </c>
      <c r="K63" s="10">
        <f>B63*Supuestos!B21*Supuestos!B8</f>
        <v>12160000</v>
      </c>
      <c r="L63" s="10">
        <f>Supuestos!B22+Supuestos!B23+Supuestos!B24+Supuestos!B25</f>
        <v>25000</v>
      </c>
      <c r="M63" s="10">
        <f>Supuestos!B26</f>
        <v>6000</v>
      </c>
      <c r="N63" s="10">
        <f>N62*(1+Supuestos!B12)</f>
        <v>1624666.1729308518</v>
      </c>
      <c r="O63" s="10">
        <f t="shared" si="8"/>
        <v>13815666.172930852</v>
      </c>
      <c r="P63" s="10">
        <f t="shared" si="9"/>
        <v>153384333.82706916</v>
      </c>
      <c r="Q63" s="10">
        <f>IF(B63*Supuestos!B8&gt;0,P63/(B63*Supuestos!B8),0)</f>
        <v>50.455372969430648</v>
      </c>
      <c r="R63" s="10">
        <f t="shared" si="10"/>
        <v>16.534488848336597</v>
      </c>
      <c r="S63" s="11">
        <f t="shared" si="11"/>
        <v>0.91737041762601179</v>
      </c>
    </row>
  </sheetData>
  <mergeCells count="1">
    <mergeCell ref="A1: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tabSelected="1" workbookViewId="0">
      <selection activeCell="D19" sqref="D19"/>
    </sheetView>
  </sheetViews>
  <sheetFormatPr baseColWidth="10" defaultColWidth="8.83203125" defaultRowHeight="15" x14ac:dyDescent="0.2"/>
  <cols>
    <col min="1" max="1" width="36" customWidth="1"/>
    <col min="2" max="5" width="18" customWidth="1"/>
  </cols>
  <sheetData>
    <row r="1" spans="1:5" ht="18" x14ac:dyDescent="0.2">
      <c r="A1" s="13" t="s">
        <v>64</v>
      </c>
      <c r="B1" s="14"/>
      <c r="C1" s="14"/>
      <c r="D1" s="14"/>
      <c r="E1" s="14"/>
    </row>
    <row r="3" spans="1:5" x14ac:dyDescent="0.2">
      <c r="A3" s="4" t="s">
        <v>65</v>
      </c>
      <c r="B3" s="5" t="s">
        <v>66</v>
      </c>
    </row>
    <row r="5" spans="1:5" x14ac:dyDescent="0.2">
      <c r="A5" s="3" t="s">
        <v>67</v>
      </c>
      <c r="B5" s="3" t="s">
        <v>68</v>
      </c>
      <c r="C5" s="3" t="s">
        <v>69</v>
      </c>
      <c r="D5" s="3" t="s">
        <v>70</v>
      </c>
      <c r="E5" s="3" t="s">
        <v>71</v>
      </c>
    </row>
    <row r="6" spans="1:5" x14ac:dyDescent="0.2">
      <c r="A6" s="12" t="s">
        <v>72</v>
      </c>
      <c r="B6" s="17">
        <f>Proyeccion_60m!B4</f>
        <v>1500</v>
      </c>
      <c r="C6" s="17">
        <f>Proyeccion_60m!B15</f>
        <v>43941.148143516766</v>
      </c>
      <c r="D6" s="17">
        <f>Proyeccion_60m!B39</f>
        <v>100000</v>
      </c>
      <c r="E6" s="17">
        <f>Proyeccion_60m!B63</f>
        <v>100000</v>
      </c>
    </row>
    <row r="7" spans="1:5" x14ac:dyDescent="0.2">
      <c r="A7" s="12" t="s">
        <v>73</v>
      </c>
      <c r="B7" s="10">
        <f>Proyeccion_60m!G4</f>
        <v>2508000</v>
      </c>
      <c r="C7" s="10">
        <f>Proyeccion_60m!G15</f>
        <v>73469599.69596003</v>
      </c>
      <c r="D7" s="10">
        <f>Proyeccion_60m!G39</f>
        <v>167200000</v>
      </c>
      <c r="E7" s="10">
        <f>Proyeccion_60m!G63</f>
        <v>167200000</v>
      </c>
    </row>
    <row r="8" spans="1:5" s="20" customFormat="1" x14ac:dyDescent="0.2">
      <c r="A8" s="18" t="s">
        <v>74</v>
      </c>
      <c r="B8" s="19">
        <f>Proyeccion_60m!P4</f>
        <v>2264600</v>
      </c>
      <c r="C8" s="19">
        <f>Proyeccion_60m!P15</f>
        <v>68032210.523139402</v>
      </c>
      <c r="D8" s="19">
        <f>Proyeccion_60m!P39</f>
        <v>154688702.55546153</v>
      </c>
      <c r="E8" s="19">
        <f>Proyeccion_60m!P63</f>
        <v>153384333.82706916</v>
      </c>
    </row>
    <row r="9" spans="1:5" x14ac:dyDescent="0.2">
      <c r="A9" s="12" t="s">
        <v>75</v>
      </c>
      <c r="B9" s="11">
        <f>Proyeccion_60m!S4</f>
        <v>0.90295055821371606</v>
      </c>
      <c r="C9" s="11">
        <f>Proyeccion_60m!S15</f>
        <v>0.92599130531100993</v>
      </c>
      <c r="D9" s="11">
        <f>Proyeccion_60m!S39</f>
        <v>0.9251716660015642</v>
      </c>
      <c r="E9" s="11">
        <f>Proyeccion_60m!S63</f>
        <v>0.91737041762601179</v>
      </c>
    </row>
    <row r="10" spans="1:5" x14ac:dyDescent="0.2">
      <c r="A10" s="12" t="s">
        <v>76</v>
      </c>
      <c r="B10" s="10">
        <f>Proyeccion_60m!Q4</f>
        <v>49.662280701754383</v>
      </c>
      <c r="C10" s="10">
        <f>Proyeccion_60m!Q15</f>
        <v>50.92952179210554</v>
      </c>
      <c r="D10" s="10">
        <f>Proyeccion_60m!Q39</f>
        <v>50.88444163008603</v>
      </c>
      <c r="E10" s="10">
        <f>Proyeccion_60m!Q63</f>
        <v>50.455372969430648</v>
      </c>
    </row>
    <row r="11" spans="1:5" x14ac:dyDescent="0.2">
      <c r="A11" s="12" t="s">
        <v>77</v>
      </c>
      <c r="B11" s="10">
        <f>Proyeccion_60m!R4</f>
        <v>20</v>
      </c>
      <c r="C11" s="10">
        <f>Proyeccion_60m!R15</f>
        <v>9.7100282791603671</v>
      </c>
      <c r="D11" s="10">
        <f>Proyeccion_60m!R39</f>
        <v>12.417371815223781</v>
      </c>
      <c r="E11" s="10">
        <f>Proyeccion_60m!R63</f>
        <v>16.534488848336597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Supuestos</vt:lpstr>
      <vt:lpstr>Proyeccion_60m</vt:lpstr>
      <vt:lpstr>Resumen_Exec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Ricardo López Reyero</cp:lastModifiedBy>
  <dcterms:created xsi:type="dcterms:W3CDTF">2025-11-24T05:11:39Z</dcterms:created>
  <dcterms:modified xsi:type="dcterms:W3CDTF">2025-11-24T05:35:39Z</dcterms:modified>
</cp:coreProperties>
</file>